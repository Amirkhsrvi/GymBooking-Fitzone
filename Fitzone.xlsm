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mirk\Desktop\"/>
    </mc:Choice>
  </mc:AlternateContent>
  <xr:revisionPtr revIDLastSave="0" documentId="13_ncr:1_{3C273579-9017-4E03-B375-7BFC4FBBF5CA}" xr6:coauthVersionLast="47" xr6:coauthVersionMax="47" xr10:uidLastSave="{00000000-0000-0000-0000-000000000000}"/>
  <workbookProtection workbookAlgorithmName="SHA-512" workbookHashValue="2OR1Y9aPTiE5Eq1GncxgkPUSbHyQlY3DfZ5DJjKHCmY2NIGCKWSlWdP954j8t1GfVBYPPfegpnMTRWBpDgbG6A==" workbookSaltValue="eDs8lm97sJjygB5LhEDu4w==" workbookSpinCount="100000" lockStructure="1"/>
  <bookViews>
    <workbookView xWindow="-120" yWindow="-120" windowWidth="29040" windowHeight="15720" tabRatio="585" activeTab="8" xr2:uid="{CE95909D-A9B9-4B10-960D-11E2DC18A57F}"/>
  </bookViews>
  <sheets>
    <sheet name="Home" sheetId="1" r:id="rId1"/>
    <sheet name="Booking" sheetId="10" r:id="rId2"/>
    <sheet name="Invoices" sheetId="3" r:id="rId3"/>
    <sheet name="Members" sheetId="11" r:id="rId4"/>
    <sheet name="Activities" sheetId="4" state="hidden" r:id="rId5"/>
    <sheet name="Staff" sheetId="12" r:id="rId6"/>
    <sheet name="Wages" sheetId="13" r:id="rId7"/>
    <sheet name="WagesPivot" sheetId="17" r:id="rId8"/>
    <sheet name="Statistics" sheetId="15" r:id="rId9"/>
  </sheets>
  <definedNames>
    <definedName name="_xlnm._FilterDatabase" localSheetId="4" hidden="1">Activities!$A$9:$C$20</definedName>
    <definedName name="_xlnm._FilterDatabase" localSheetId="2" hidden="1">Invoices!$B$32:$M$87</definedName>
    <definedName name="_xlnm._FilterDatabase" localSheetId="3" hidden="1">Members!$A$30:$K$39</definedName>
    <definedName name="_xlnm._FilterDatabase" localSheetId="5" hidden="1">Staff!$A$10:$L$19</definedName>
    <definedName name="_xlnm._FilterDatabase" localSheetId="8" hidden="1">Statistics!$F$11:$F$22</definedName>
    <definedName name="_xlnm._FilterDatabase" localSheetId="6" hidden="1">Wages!$B$33:$K$49</definedName>
    <definedName name="Activities1">Activities!$A$10:$C$20</definedName>
    <definedName name="date">Invoices!$B$33:$B$131</definedName>
    <definedName name="i">Invoices!$C$33:$C$131</definedName>
    <definedName name="inv">Invoices!$B$33:$M$36</definedName>
    <definedName name="Member_IDi">Members!$A$31:$A$265</definedName>
    <definedName name="Members1">Members!$A$31:$K$300</definedName>
    <definedName name="_xlnm.Print_Area" localSheetId="2">Invoices!$B$9:$E$28</definedName>
    <definedName name="_xlnm.Print_Area" localSheetId="3">Members!$A$30:$K$265</definedName>
    <definedName name="_xlnm.Print_Area" localSheetId="5">Staff!$A$10:$L$95</definedName>
    <definedName name="_xlnm.Print_Titles" localSheetId="3">Members!$30:$30</definedName>
    <definedName name="_xlnm.Print_Titles" localSheetId="5">Staff!$10:$10</definedName>
    <definedName name="Staff1">Staff!$A$11:$L$48</definedName>
    <definedName name="totcost_inv">Invoices!$M$33:$M$131</definedName>
  </definedNames>
  <calcPr calcId="191028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11" l="1"/>
  <c r="B25" i="11"/>
  <c r="C22" i="3"/>
  <c r="E22" i="3"/>
  <c r="E18" i="3"/>
  <c r="E16" i="3"/>
  <c r="D16" i="3"/>
  <c r="C16" i="3"/>
  <c r="O13" i="15"/>
  <c r="G12" i="15"/>
  <c r="J18" i="11"/>
  <c r="F16" i="10"/>
  <c r="H29" i="10" s="1"/>
  <c r="L29" i="10"/>
  <c r="J28" i="13"/>
  <c r="C16" i="13"/>
  <c r="C20" i="13" s="1"/>
  <c r="K28" i="13" s="1"/>
  <c r="L13" i="11"/>
  <c r="I13" i="11" s="1"/>
  <c r="K25" i="11"/>
  <c r="J25" i="11"/>
  <c r="I25" i="11"/>
  <c r="H25" i="11"/>
  <c r="G25" i="11"/>
  <c r="F25" i="11"/>
  <c r="L16" i="11" s="1"/>
  <c r="I16" i="11" s="1"/>
  <c r="D25" i="11"/>
  <c r="C25" i="11"/>
  <c r="A25" i="11"/>
  <c r="L11" i="10"/>
  <c r="C12" i="13"/>
  <c r="C28" i="13" s="1"/>
  <c r="D29" i="10"/>
  <c r="I29" i="10"/>
  <c r="J29" i="10"/>
  <c r="G14" i="10"/>
  <c r="G16" i="10" s="1"/>
  <c r="H20" i="10" s="1"/>
  <c r="H28" i="13"/>
  <c r="M29" i="3"/>
  <c r="O11" i="15"/>
  <c r="H12" i="15"/>
  <c r="H13" i="15"/>
  <c r="H14" i="15"/>
  <c r="H15" i="15"/>
  <c r="H16" i="15"/>
  <c r="H17" i="15"/>
  <c r="H18" i="15"/>
  <c r="H19" i="15"/>
  <c r="H20" i="15"/>
  <c r="H21" i="15"/>
  <c r="H22" i="15"/>
  <c r="H11" i="15"/>
  <c r="C12" i="15"/>
  <c r="D12" i="15"/>
  <c r="C13" i="15"/>
  <c r="D13" i="15"/>
  <c r="C14" i="15"/>
  <c r="D14" i="15"/>
  <c r="C15" i="15"/>
  <c r="D15" i="15"/>
  <c r="C16" i="15"/>
  <c r="D16" i="15"/>
  <c r="C17" i="15"/>
  <c r="D17" i="15"/>
  <c r="C18" i="15"/>
  <c r="D18" i="15"/>
  <c r="C19" i="15"/>
  <c r="D19" i="15"/>
  <c r="C20" i="15"/>
  <c r="D20" i="15"/>
  <c r="C21" i="15"/>
  <c r="D21" i="15"/>
  <c r="C22" i="15"/>
  <c r="D22" i="15"/>
  <c r="C11" i="15"/>
  <c r="D11" i="15"/>
  <c r="C11" i="3"/>
  <c r="C26" i="3"/>
  <c r="C20" i="3"/>
  <c r="C18" i="3"/>
  <c r="C14" i="3"/>
  <c r="B28" i="13"/>
  <c r="E16" i="13"/>
  <c r="I28" i="13" s="1"/>
  <c r="C14" i="13"/>
  <c r="F28" i="13" s="1"/>
  <c r="E12" i="13"/>
  <c r="E28" i="13" s="1"/>
  <c r="D12" i="13"/>
  <c r="D28" i="13" s="1"/>
  <c r="E14" i="10"/>
  <c r="G29" i="10" s="1"/>
  <c r="D14" i="10"/>
  <c r="F29" i="10" s="1"/>
  <c r="C14" i="10"/>
  <c r="E29" i="10" s="1"/>
  <c r="C18" i="10"/>
  <c r="O15" i="13"/>
  <c r="O16" i="13" s="1"/>
  <c r="O17" i="13" s="1"/>
  <c r="O18" i="13" s="1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Q45" i="10"/>
  <c r="Q46" i="10" s="1"/>
  <c r="G18" i="15" l="1"/>
  <c r="K18" i="15" s="1"/>
  <c r="G19" i="15"/>
  <c r="L19" i="15" s="1"/>
  <c r="G17" i="15"/>
  <c r="L17" i="15" s="1"/>
  <c r="G20" i="15"/>
  <c r="K20" i="15" s="1"/>
  <c r="G11" i="15"/>
  <c r="L11" i="15" s="1"/>
  <c r="G13" i="15"/>
  <c r="K13" i="15" s="1"/>
  <c r="G21" i="15"/>
  <c r="K21" i="15" s="1"/>
  <c r="G14" i="15"/>
  <c r="L14" i="15" s="1"/>
  <c r="G22" i="15"/>
  <c r="L22" i="15" s="1"/>
  <c r="G15" i="15"/>
  <c r="K15" i="15" s="1"/>
  <c r="G16" i="15"/>
  <c r="K16" i="15" s="1"/>
  <c r="K13" i="11"/>
  <c r="L12" i="15"/>
  <c r="D50" i="10"/>
  <c r="H14" i="10" s="1"/>
  <c r="K16" i="11"/>
  <c r="J16" i="11"/>
  <c r="F22" i="10"/>
  <c r="G28" i="13"/>
  <c r="J13" i="11"/>
  <c r="O15" i="15"/>
  <c r="K12" i="15"/>
  <c r="Q51" i="10"/>
  <c r="Q50" i="10"/>
  <c r="Q49" i="10"/>
  <c r="Q48" i="10"/>
  <c r="Q47" i="10"/>
  <c r="C10" i="10"/>
  <c r="C29" i="10" s="1"/>
  <c r="K17" i="15" l="1"/>
  <c r="K19" i="15"/>
  <c r="L18" i="15"/>
  <c r="L20" i="15"/>
  <c r="L15" i="15"/>
  <c r="L21" i="15"/>
  <c r="K14" i="15"/>
  <c r="K11" i="15"/>
  <c r="L16" i="15"/>
  <c r="L13" i="15"/>
  <c r="K22" i="15"/>
  <c r="K29" i="10"/>
  <c r="D47" i="10" s="1"/>
  <c r="I16" i="10" s="1"/>
  <c r="F23" i="10"/>
  <c r="D42" i="10"/>
  <c r="D44" i="10" s="1"/>
  <c r="C24" i="10" s="1"/>
  <c r="M29" i="10" s="1"/>
  <c r="N11" i="10"/>
  <c r="N10" i="10" s="1"/>
  <c r="L10" i="10"/>
  <c r="R11" i="10"/>
  <c r="R10" i="10" s="1"/>
  <c r="Q11" i="10"/>
  <c r="Q10" i="10" s="1"/>
  <c r="O11" i="10"/>
  <c r="O10" i="10" s="1"/>
  <c r="M11" i="10"/>
  <c r="M10" i="10" s="1"/>
  <c r="P11" i="10"/>
  <c r="P10" i="10" s="1"/>
  <c r="F19" i="1"/>
  <c r="E19" i="1" s="1"/>
  <c r="C6" i="10" l="1"/>
  <c r="B29" i="10" s="1"/>
</calcChain>
</file>

<file path=xl/sharedStrings.xml><?xml version="1.0" encoding="utf-8"?>
<sst xmlns="http://schemas.openxmlformats.org/spreadsheetml/2006/main" count="1714" uniqueCount="585">
  <si>
    <t xml:space="preserve">  </t>
  </si>
  <si>
    <t xml:space="preserve"> </t>
  </si>
  <si>
    <t xml:space="preserve">     </t>
  </si>
  <si>
    <t xml:space="preserve">             </t>
  </si>
  <si>
    <t>Booking</t>
  </si>
  <si>
    <t>Invoice No.</t>
  </si>
  <si>
    <t>Member ID</t>
  </si>
  <si>
    <t>9-10</t>
  </si>
  <si>
    <t>Available</t>
  </si>
  <si>
    <t>10-11</t>
  </si>
  <si>
    <t>Name:</t>
  </si>
  <si>
    <t>11-12</t>
  </si>
  <si>
    <t>12-13</t>
  </si>
  <si>
    <t>Activity:</t>
  </si>
  <si>
    <t>Activity code</t>
  </si>
  <si>
    <t>13-14</t>
  </si>
  <si>
    <t>14-15</t>
  </si>
  <si>
    <t>Cost:</t>
  </si>
  <si>
    <t>15-16</t>
  </si>
  <si>
    <t>16-17</t>
  </si>
  <si>
    <t>Next availble date:</t>
  </si>
  <si>
    <t>Time:</t>
  </si>
  <si>
    <t>17-18</t>
  </si>
  <si>
    <t>18-19</t>
  </si>
  <si>
    <t>Need an instructor?</t>
  </si>
  <si>
    <t>19-20</t>
  </si>
  <si>
    <t>20-21</t>
  </si>
  <si>
    <t>Total Cost</t>
  </si>
  <si>
    <t>21-22</t>
  </si>
  <si>
    <t>Summary:</t>
  </si>
  <si>
    <t>Date</t>
  </si>
  <si>
    <t>Title</t>
  </si>
  <si>
    <t>First name</t>
  </si>
  <si>
    <t>Last name</t>
  </si>
  <si>
    <t>Activity</t>
  </si>
  <si>
    <t>Cost</t>
  </si>
  <si>
    <t>Start date</t>
  </si>
  <si>
    <t>Time</t>
  </si>
  <si>
    <t>Total cost</t>
  </si>
  <si>
    <t xml:space="preserve">   </t>
  </si>
  <si>
    <t>Invoice</t>
  </si>
  <si>
    <t>Date:</t>
  </si>
  <si>
    <t>Invoice No:</t>
  </si>
  <si>
    <t>Member ID:</t>
  </si>
  <si>
    <t>Mr</t>
  </si>
  <si>
    <t>Lura</t>
  </si>
  <si>
    <t>Manzella</t>
  </si>
  <si>
    <t>Circuit Training</t>
  </si>
  <si>
    <t>Miss</t>
  </si>
  <si>
    <t>Aleshia</t>
  </si>
  <si>
    <t>Tomkiewicz</t>
  </si>
  <si>
    <t>Squash</t>
  </si>
  <si>
    <t>Evan</t>
  </si>
  <si>
    <t>Zigomalas</t>
  </si>
  <si>
    <t>Badminton</t>
  </si>
  <si>
    <t>Members</t>
  </si>
  <si>
    <t>Firstname</t>
  </si>
  <si>
    <t>last name</t>
  </si>
  <si>
    <t>Address 1</t>
  </si>
  <si>
    <t>City</t>
  </si>
  <si>
    <t>Postcode</t>
  </si>
  <si>
    <t>phone1</t>
  </si>
  <si>
    <t>Email Address</t>
  </si>
  <si>
    <t>14 Taylor St</t>
  </si>
  <si>
    <t>Salford</t>
  </si>
  <si>
    <t>CT2 7PP</t>
  </si>
  <si>
    <t>01835-703597</t>
  </si>
  <si>
    <t>fernanda@writer.co.uk</t>
  </si>
  <si>
    <t>5 Binney St</t>
  </si>
  <si>
    <t>HP11 2AX</t>
  </si>
  <si>
    <t>01937-864715</t>
  </si>
  <si>
    <t>atomkiewicz@hotmail.com</t>
  </si>
  <si>
    <t>France</t>
  </si>
  <si>
    <t>Andrade</t>
  </si>
  <si>
    <t>8 Moor Place</t>
  </si>
  <si>
    <t>BH6 3BE</t>
  </si>
  <si>
    <t>01347-368222</t>
  </si>
  <si>
    <t>evan.zigomalas@gmail.com</t>
  </si>
  <si>
    <t>Mrs</t>
  </si>
  <si>
    <t>Ulysses</t>
  </si>
  <si>
    <t>Mcwalters</t>
  </si>
  <si>
    <t>505 Exeter Rd</t>
  </si>
  <si>
    <t>DN36 5RP</t>
  </si>
  <si>
    <t>01912-771311</t>
  </si>
  <si>
    <t>france.andrade@hotmail.com</t>
  </si>
  <si>
    <t>Tyisha</t>
  </si>
  <si>
    <t>Veness</t>
  </si>
  <si>
    <t>5396 Forth Street</t>
  </si>
  <si>
    <t>B70 9DT</t>
  </si>
  <si>
    <t>01547-429341</t>
  </si>
  <si>
    <t>ulysses@hotmail.com</t>
  </si>
  <si>
    <t>Eric</t>
  </si>
  <si>
    <t>Rampy</t>
  </si>
  <si>
    <t>9472 Lind St</t>
  </si>
  <si>
    <t>NN14 2GH</t>
  </si>
  <si>
    <t>01969-886290</t>
  </si>
  <si>
    <t>tyisha.veness@hotmail.com</t>
  </si>
  <si>
    <t>Marg</t>
  </si>
  <si>
    <t>Grasmick</t>
  </si>
  <si>
    <t>7457 Cowl St #70</t>
  </si>
  <si>
    <t>SO14 3TY</t>
  </si>
  <si>
    <t>01865-582516</t>
  </si>
  <si>
    <t>erampy@rampy.co.uk</t>
  </si>
  <si>
    <t>Laquita</t>
  </si>
  <si>
    <t>Hisaw</t>
  </si>
  <si>
    <t>20 Gloucester Pl #96</t>
  </si>
  <si>
    <t>NE29 7AD</t>
  </si>
  <si>
    <t>01746-394243</t>
  </si>
  <si>
    <t>marg@hotmail.com</t>
  </si>
  <si>
    <t>929 Augustine St</t>
  </si>
  <si>
    <t>BS16 4LL</t>
  </si>
  <si>
    <t>01907-538509</t>
  </si>
  <si>
    <t>laquita@yahoo.com</t>
  </si>
  <si>
    <t>Activities</t>
  </si>
  <si>
    <t>Code</t>
  </si>
  <si>
    <t>Name</t>
  </si>
  <si>
    <t>Cost per hour</t>
  </si>
  <si>
    <t>Swimming</t>
  </si>
  <si>
    <t>Sauna</t>
  </si>
  <si>
    <t>Jacuzzi</t>
  </si>
  <si>
    <t>Multi Gym</t>
  </si>
  <si>
    <t>Pitch n Putt</t>
  </si>
  <si>
    <t>Aerobics Classes</t>
  </si>
  <si>
    <t>Karate Classes</t>
  </si>
  <si>
    <t>Yoga Classes</t>
  </si>
  <si>
    <t>Staff</t>
  </si>
  <si>
    <t>Staff ID</t>
  </si>
  <si>
    <t>Role</t>
  </si>
  <si>
    <t>Hourly Rate</t>
  </si>
  <si>
    <t>Overtime Rate</t>
  </si>
  <si>
    <t>Address</t>
  </si>
  <si>
    <t>Receptionist</t>
  </si>
  <si>
    <t>Caretaker</t>
  </si>
  <si>
    <t>Cleaner</t>
  </si>
  <si>
    <t>Instructor</t>
  </si>
  <si>
    <t>Manager</t>
  </si>
  <si>
    <t>Hourly rate:</t>
  </si>
  <si>
    <t>Weekly hours:</t>
  </si>
  <si>
    <t>Overtime Rate:</t>
  </si>
  <si>
    <t>Starting week:</t>
  </si>
  <si>
    <t>Total weekly wage:</t>
  </si>
  <si>
    <t xml:space="preserve">          </t>
  </si>
  <si>
    <t>Hourly rate</t>
  </si>
  <si>
    <t>Weekly Hours</t>
  </si>
  <si>
    <t>Starting week date</t>
  </si>
  <si>
    <t>Total weekly wage</t>
  </si>
  <si>
    <t>Total paid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</si>
  <si>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</si>
  <si>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</si>
  <si>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</si>
  <si>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</si>
  <si>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</si>
  <si>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</si>
  <si>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</si>
  <si>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</si>
  <si>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</si>
  <si>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</si>
  <si>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</si>
  <si>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</si>
  <si>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Start date:</t>
  </si>
  <si>
    <t>Total Cost:</t>
  </si>
  <si>
    <t>Code:</t>
  </si>
  <si>
    <t>Total Expenses</t>
  </si>
  <si>
    <t>Total Incomes</t>
  </si>
  <si>
    <t>Status</t>
  </si>
  <si>
    <t>Financial Status</t>
  </si>
  <si>
    <t>Total Income</t>
  </si>
  <si>
    <t>Net</t>
  </si>
  <si>
    <t>Summary</t>
  </si>
  <si>
    <t>Statistics</t>
  </si>
  <si>
    <t>Gender</t>
  </si>
  <si>
    <t>Female</t>
  </si>
  <si>
    <t>Male</t>
  </si>
  <si>
    <t>Age</t>
  </si>
  <si>
    <t>The youngest member</t>
  </si>
  <si>
    <t>Years old</t>
  </si>
  <si>
    <t>Averege Age</t>
  </si>
  <si>
    <t>The Oldest member</t>
  </si>
  <si>
    <t>Row Labels</t>
  </si>
  <si>
    <t>Sum of Total weekly wage</t>
  </si>
  <si>
    <t>Grand Total</t>
  </si>
  <si>
    <t xml:space="preserve">Enter Wages </t>
  </si>
  <si>
    <t>Kevin</t>
  </si>
  <si>
    <t>De beruine</t>
  </si>
  <si>
    <t>01907-538510</t>
  </si>
  <si>
    <t>Elderi dis</t>
  </si>
  <si>
    <t>dis</t>
  </si>
  <si>
    <t>Off-Peak Discount:</t>
  </si>
  <si>
    <t>Eldery Discount:</t>
  </si>
  <si>
    <t>Total Invoices</t>
  </si>
  <si>
    <t>OPA:</t>
  </si>
  <si>
    <t>No avaiblity due maintanance</t>
  </si>
  <si>
    <t>No avaiblity</t>
  </si>
  <si>
    <t>Supervising</t>
  </si>
  <si>
    <t>Role:</t>
  </si>
  <si>
    <t>Add New Member</t>
  </si>
  <si>
    <t>First Name</t>
  </si>
  <si>
    <t>Last Name</t>
  </si>
  <si>
    <t>Phone</t>
  </si>
  <si>
    <t>13:00</t>
  </si>
  <si>
    <t>15:00</t>
  </si>
  <si>
    <t>9:00</t>
  </si>
  <si>
    <t>12:00</t>
  </si>
  <si>
    <t>18:00</t>
  </si>
  <si>
    <t>(blank)</t>
  </si>
  <si>
    <t>17:00</t>
  </si>
  <si>
    <t>16:00</t>
  </si>
  <si>
    <t>Marylin</t>
  </si>
  <si>
    <t>Cornelison</t>
  </si>
  <si>
    <t>Marget</t>
  </si>
  <si>
    <t>Gunst</t>
  </si>
  <si>
    <t>Annett</t>
  </si>
  <si>
    <t>Bunselmeyer</t>
  </si>
  <si>
    <t>Kip</t>
  </si>
  <si>
    <t>Turziano</t>
  </si>
  <si>
    <t>Melina</t>
  </si>
  <si>
    <t>Orizabal</t>
  </si>
  <si>
    <t>Tina</t>
  </si>
  <si>
    <t>Clapham</t>
  </si>
  <si>
    <t>Luisa</t>
  </si>
  <si>
    <t>Devereux</t>
  </si>
  <si>
    <t>Pedro</t>
  </si>
  <si>
    <t>Aschoff</t>
  </si>
  <si>
    <t>Carrol</t>
  </si>
  <si>
    <t>Kunimitsu</t>
  </si>
  <si>
    <t>Alba</t>
  </si>
  <si>
    <t>Mosseri</t>
  </si>
  <si>
    <t>Domonique</t>
  </si>
  <si>
    <t>Sandlin</t>
  </si>
  <si>
    <t>Rory</t>
  </si>
  <si>
    <t>Neufville</t>
  </si>
  <si>
    <t>Dustin</t>
  </si>
  <si>
    <t>Klingaman</t>
  </si>
  <si>
    <t>Lyndia</t>
  </si>
  <si>
    <t>Moonshower</t>
  </si>
  <si>
    <t>Jules</t>
  </si>
  <si>
    <t>Hiltner</t>
  </si>
  <si>
    <t>Dong</t>
  </si>
  <si>
    <t>Kopczynski</t>
  </si>
  <si>
    <t>Justine</t>
  </si>
  <si>
    <t>Salta</t>
  </si>
  <si>
    <t>Chantay</t>
  </si>
  <si>
    <t>Kamens</t>
  </si>
  <si>
    <t>Tequila</t>
  </si>
  <si>
    <t>Chisum</t>
  </si>
  <si>
    <t>Maybelle</t>
  </si>
  <si>
    <t>Consolazio</t>
  </si>
  <si>
    <t>Margarett</t>
  </si>
  <si>
    <t>Bairo</t>
  </si>
  <si>
    <t>Janessa</t>
  </si>
  <si>
    <t>Noonon</t>
  </si>
  <si>
    <t>Sol</t>
  </si>
  <si>
    <t>Cowser</t>
  </si>
  <si>
    <t>Louann</t>
  </si>
  <si>
    <t>Smethers</t>
  </si>
  <si>
    <t>Lindsay</t>
  </si>
  <si>
    <t>Yadao</t>
  </si>
  <si>
    <t>Malika</t>
  </si>
  <si>
    <t>Hanton</t>
  </si>
  <si>
    <t>Stefany</t>
  </si>
  <si>
    <t>Ferenz</t>
  </si>
  <si>
    <t>Abraham</t>
  </si>
  <si>
    <t>Cratch</t>
  </si>
  <si>
    <t>Giuseppe</t>
  </si>
  <si>
    <t>Rohaley</t>
  </si>
  <si>
    <t>Kiera</t>
  </si>
  <si>
    <t>Bassil</t>
  </si>
  <si>
    <t>Wendell</t>
  </si>
  <si>
    <t>Rubano</t>
  </si>
  <si>
    <t>Stevie</t>
  </si>
  <si>
    <t>Stifflemire</t>
  </si>
  <si>
    <t>Yun</t>
  </si>
  <si>
    <t>Paletta</t>
  </si>
  <si>
    <t>Brittani</t>
  </si>
  <si>
    <t>Thurm</t>
  </si>
  <si>
    <t>Billy</t>
  </si>
  <si>
    <t>Venus</t>
  </si>
  <si>
    <t>Brynn</t>
  </si>
  <si>
    <t>Elkan</t>
  </si>
  <si>
    <t>Elroy</t>
  </si>
  <si>
    <t>Piehler</t>
  </si>
  <si>
    <t>Anisha</t>
  </si>
  <si>
    <t>Shulick</t>
  </si>
  <si>
    <t>Bettina</t>
  </si>
  <si>
    <t>Kham</t>
  </si>
  <si>
    <t>Velda</t>
  </si>
  <si>
    <t>Mancilla</t>
  </si>
  <si>
    <t>Marta</t>
  </si>
  <si>
    <t>Brace</t>
  </si>
  <si>
    <t>Juan</t>
  </si>
  <si>
    <t>Vanwyhe</t>
  </si>
  <si>
    <t>Lelia</t>
  </si>
  <si>
    <t>Filion</t>
  </si>
  <si>
    <t>Una</t>
  </si>
  <si>
    <t>Frankel</t>
  </si>
  <si>
    <t>Eva</t>
  </si>
  <si>
    <t>Joulwan</t>
  </si>
  <si>
    <t>Mammie</t>
  </si>
  <si>
    <t>Dormanen</t>
  </si>
  <si>
    <t>Jeannetta</t>
  </si>
  <si>
    <t>Coolidge</t>
  </si>
  <si>
    <t>Elbert</t>
  </si>
  <si>
    <t>Drawe</t>
  </si>
  <si>
    <t>Lenny</t>
  </si>
  <si>
    <t>Gazzola</t>
  </si>
  <si>
    <t>Mira</t>
  </si>
  <si>
    <t>Alpheaus</t>
  </si>
  <si>
    <t>Cathern</t>
  </si>
  <si>
    <t>Ungar</t>
  </si>
  <si>
    <t>Malcom</t>
  </si>
  <si>
    <t>Fleckles</t>
  </si>
  <si>
    <t>Monroe</t>
  </si>
  <si>
    <t>Damato</t>
  </si>
  <si>
    <t>Leota</t>
  </si>
  <si>
    <t>Fletchen</t>
  </si>
  <si>
    <t>Berry</t>
  </si>
  <si>
    <t>Gutoski</t>
  </si>
  <si>
    <t>Meghan</t>
  </si>
  <si>
    <t>Riherd</t>
  </si>
  <si>
    <t>Mike</t>
  </si>
  <si>
    <t>Torner</t>
  </si>
  <si>
    <t>Elsa</t>
  </si>
  <si>
    <t>Delisle</t>
  </si>
  <si>
    <t>Linwood</t>
  </si>
  <si>
    <t>Rosenlof</t>
  </si>
  <si>
    <t>Latosha</t>
  </si>
  <si>
    <t>Alexy</t>
  </si>
  <si>
    <t>Alexia</t>
  </si>
  <si>
    <t>Meenan</t>
  </si>
  <si>
    <t>Graham</t>
  </si>
  <si>
    <t>Stanwick</t>
  </si>
  <si>
    <t>Elinore</t>
  </si>
  <si>
    <t>Fulda</t>
  </si>
  <si>
    <t>Lisbeth</t>
  </si>
  <si>
    <t>Creecy</t>
  </si>
  <si>
    <t>Eloisa</t>
  </si>
  <si>
    <t>Faurote</t>
  </si>
  <si>
    <t>Shawana</t>
  </si>
  <si>
    <t>Cantua</t>
  </si>
  <si>
    <t>Alyssa</t>
  </si>
  <si>
    <t>Ansbro</t>
  </si>
  <si>
    <t>Kyoko</t>
  </si>
  <si>
    <t>Mcmillian</t>
  </si>
  <si>
    <t>Terry</t>
  </si>
  <si>
    <t>Gauthier</t>
  </si>
  <si>
    <t>Sena</t>
  </si>
  <si>
    <t>Langenbach</t>
  </si>
  <si>
    <t>Cristen</t>
  </si>
  <si>
    <t>Nesset</t>
  </si>
  <si>
    <t>Lashawn</t>
  </si>
  <si>
    <t>Ker</t>
  </si>
  <si>
    <t>Wade</t>
  </si>
  <si>
    <t>Sovel</t>
  </si>
  <si>
    <t>Whitney</t>
  </si>
  <si>
    <t>Tishler</t>
  </si>
  <si>
    <t>Deja</t>
  </si>
  <si>
    <t>Conatser</t>
  </si>
  <si>
    <t>Earnestine</t>
  </si>
  <si>
    <t>Casper</t>
  </si>
  <si>
    <t>Frankie</t>
  </si>
  <si>
    <t>Marruffo</t>
  </si>
  <si>
    <t>Paola</t>
  </si>
  <si>
    <t>Dease</t>
  </si>
  <si>
    <t>Rodrigo</t>
  </si>
  <si>
    <t>Hawkin</t>
  </si>
  <si>
    <t>Luther</t>
  </si>
  <si>
    <t>Alsman</t>
  </si>
  <si>
    <t>Casey</t>
  </si>
  <si>
    <t>Dondero</t>
  </si>
  <si>
    <t>Ressie</t>
  </si>
  <si>
    <t>Bontemps</t>
  </si>
  <si>
    <t>Sean</t>
  </si>
  <si>
    <t>Schurman</t>
  </si>
  <si>
    <t>Celestina</t>
  </si>
  <si>
    <t>Pince</t>
  </si>
  <si>
    <t>Maira</t>
  </si>
  <si>
    <t>Karas</t>
  </si>
  <si>
    <t>Beth</t>
  </si>
  <si>
    <t>Barbone</t>
  </si>
  <si>
    <t>Wei</t>
  </si>
  <si>
    <t>Nobel</t>
  </si>
  <si>
    <t>Melissia</t>
  </si>
  <si>
    <t>Slotemaker</t>
  </si>
  <si>
    <t>Letha</t>
  </si>
  <si>
    <t>Akey</t>
  </si>
  <si>
    <t>Isaac</t>
  </si>
  <si>
    <t>Semrad</t>
  </si>
  <si>
    <t>Kristine</t>
  </si>
  <si>
    <t>Klipfel</t>
  </si>
  <si>
    <t>Odette</t>
  </si>
  <si>
    <t>Moussette</t>
  </si>
  <si>
    <t>Hobert</t>
  </si>
  <si>
    <t>Panfilov</t>
  </si>
  <si>
    <t>8388 Bessemer St #5</t>
  </si>
  <si>
    <t>87 Pownall Sq</t>
  </si>
  <si>
    <t>39 Wye St</t>
  </si>
  <si>
    <t>2732 Bostock St #1</t>
  </si>
  <si>
    <t>5562 Fairfield St #847</t>
  </si>
  <si>
    <t>37 Meadow St</t>
  </si>
  <si>
    <t>3 Nevison St</t>
  </si>
  <si>
    <t>5662 William Moult St</t>
  </si>
  <si>
    <t>3 North View #35</t>
  </si>
  <si>
    <t>135 Opie St</t>
  </si>
  <si>
    <t>1 Askew St</t>
  </si>
  <si>
    <t>4 Burnall St</t>
  </si>
  <si>
    <t>95 Denton St</t>
  </si>
  <si>
    <t>5 Chadwick St #7</t>
  </si>
  <si>
    <t>67 Micawber St</t>
  </si>
  <si>
    <t>43 Williamson St #7995</t>
  </si>
  <si>
    <t>5 Howe St</t>
  </si>
  <si>
    <t>7 Cheapside #9</t>
  </si>
  <si>
    <t>85 Bridgewater St</t>
  </si>
  <si>
    <t>763 Parkfield Rd</t>
  </si>
  <si>
    <t>662 Grove Park</t>
  </si>
  <si>
    <t>5410 Lawton St</t>
  </si>
  <si>
    <t>3 August Rd</t>
  </si>
  <si>
    <t>476 Starkie St</t>
  </si>
  <si>
    <t>6448 Tillard St</t>
  </si>
  <si>
    <t>3055 Creswick St</t>
  </si>
  <si>
    <t>7 Jolliffe St</t>
  </si>
  <si>
    <t>1175 Greig St</t>
  </si>
  <si>
    <t>636 Portland Place</t>
  </si>
  <si>
    <t>41 Benedict St</t>
  </si>
  <si>
    <t>62 Margaret St</t>
  </si>
  <si>
    <t>5152 Sophia St</t>
  </si>
  <si>
    <t>1 Back Canning St</t>
  </si>
  <si>
    <t>9 Gradwell St</t>
  </si>
  <si>
    <t>9205 Upper Hill St</t>
  </si>
  <si>
    <t>9 Horatio St</t>
  </si>
  <si>
    <t>61 Miriam St</t>
  </si>
  <si>
    <t>67 Pulford St</t>
  </si>
  <si>
    <t>821 Pembroke Place</t>
  </si>
  <si>
    <t>3 Alder St</t>
  </si>
  <si>
    <t>80 Morecambe St</t>
  </si>
  <si>
    <t>7866 Renshaw St #283</t>
  </si>
  <si>
    <t>658 Lake St</t>
  </si>
  <si>
    <t>5382 Redfern St</t>
  </si>
  <si>
    <t>45 Bidder St #38</t>
  </si>
  <si>
    <t>6766 Britton St #379</t>
  </si>
  <si>
    <t>7 Lear Rd</t>
  </si>
  <si>
    <t>2577 Toxteth St #5</t>
  </si>
  <si>
    <t>761 Cockerell St #1</t>
  </si>
  <si>
    <t>9 Cypress St</t>
  </si>
  <si>
    <t>6 Romilly St</t>
  </si>
  <si>
    <t>51 St Anne St #12</t>
  </si>
  <si>
    <t>823 Idris St</t>
  </si>
  <si>
    <t>8764 Nickleby St #877</t>
  </si>
  <si>
    <t>5344 Bengel St #5</t>
  </si>
  <si>
    <t>8880 Great Howard St #7750</t>
  </si>
  <si>
    <t>9 Oakleigh</t>
  </si>
  <si>
    <t>83 Denbigh St Bootle</t>
  </si>
  <si>
    <t>30 Aughton St</t>
  </si>
  <si>
    <t>260 Saxon St</t>
  </si>
  <si>
    <t>3 Pyramid St</t>
  </si>
  <si>
    <t>37 Langham St #948</t>
  </si>
  <si>
    <t>94 Villars St</t>
  </si>
  <si>
    <t>73 Hawkstone St</t>
  </si>
  <si>
    <t>123 Sussex St</t>
  </si>
  <si>
    <t>484 Barry St</t>
  </si>
  <si>
    <t>7033 Micawber St</t>
  </si>
  <si>
    <t>33 Vipond St</t>
  </si>
  <si>
    <t>85 Hero St</t>
  </si>
  <si>
    <t>77 Reading St #8</t>
  </si>
  <si>
    <t>274 Altcar Ave</t>
  </si>
  <si>
    <t>38 Avondale Rd #79</t>
  </si>
  <si>
    <t>4679 Curzon St</t>
  </si>
  <si>
    <t>13 Nelson Rd</t>
  </si>
  <si>
    <t>2546 Hunter St</t>
  </si>
  <si>
    <t>77 Mason St #650</t>
  </si>
  <si>
    <t>94 Wakefield St</t>
  </si>
  <si>
    <t>529 Stalmine Rd #3680</t>
  </si>
  <si>
    <t>52 Morningside Rd #1</t>
  </si>
  <si>
    <t>94 Enid St</t>
  </si>
  <si>
    <t>661 Great Crosshall St</t>
  </si>
  <si>
    <t>227 Albert Terrace</t>
  </si>
  <si>
    <t>464 Back Nile St #618</t>
  </si>
  <si>
    <t>42 Eastwood St</t>
  </si>
  <si>
    <t>2877 Grain St</t>
  </si>
  <si>
    <t>13 Stockdale St #779</t>
  </si>
  <si>
    <t>9 Cropper St</t>
  </si>
  <si>
    <t>3 Gaskell St</t>
  </si>
  <si>
    <t>5221 Royston St</t>
  </si>
  <si>
    <t>83 St Johns Lane #43</t>
  </si>
  <si>
    <t>603 Pall Mall</t>
  </si>
  <si>
    <t>76 Dawber St #6</t>
  </si>
  <si>
    <t>3380 Alexander St</t>
  </si>
  <si>
    <t>01835-703598</t>
  </si>
  <si>
    <t>01937-864716</t>
  </si>
  <si>
    <t>01347-368223</t>
  </si>
  <si>
    <t>01912-771312</t>
  </si>
  <si>
    <t>01547-429342</t>
  </si>
  <si>
    <t>01969-886291</t>
  </si>
  <si>
    <t>01865-582517</t>
  </si>
  <si>
    <t>01746-394244</t>
  </si>
  <si>
    <t>01907-538511</t>
  </si>
  <si>
    <t>01907-538512</t>
  </si>
  <si>
    <t>01835-703599</t>
  </si>
  <si>
    <t>01937-864717</t>
  </si>
  <si>
    <t>01347-368224</t>
  </si>
  <si>
    <t>01912-771313</t>
  </si>
  <si>
    <t>01547-429343</t>
  </si>
  <si>
    <t>01969-886292</t>
  </si>
  <si>
    <t>01865-582518</t>
  </si>
  <si>
    <t>01746-394245</t>
  </si>
  <si>
    <t>01907-538513</t>
  </si>
  <si>
    <t>01907-538514</t>
  </si>
  <si>
    <t>01835-703600</t>
  </si>
  <si>
    <t>01937-864718</t>
  </si>
  <si>
    <t>01347-368225</t>
  </si>
  <si>
    <t>01912-771314</t>
  </si>
  <si>
    <t>01547-429344</t>
  </si>
  <si>
    <t>01969-886293</t>
  </si>
  <si>
    <t>01865-582519</t>
  </si>
  <si>
    <t>01746-394246</t>
  </si>
  <si>
    <t>01907-538515</t>
  </si>
  <si>
    <t>01907-538516</t>
  </si>
  <si>
    <t>01835-703601</t>
  </si>
  <si>
    <t>01937-864719</t>
  </si>
  <si>
    <t>01347-368226</t>
  </si>
  <si>
    <t>01912-771315</t>
  </si>
  <si>
    <t>01547-429345</t>
  </si>
  <si>
    <t>01969-886294</t>
  </si>
  <si>
    <t>01865-582520</t>
  </si>
  <si>
    <t>01746-394247</t>
  </si>
  <si>
    <t>01907-538517</t>
  </si>
  <si>
    <t>01907-538518</t>
  </si>
  <si>
    <t>01835-703602</t>
  </si>
  <si>
    <t>01937-864720</t>
  </si>
  <si>
    <t>01347-368227</t>
  </si>
  <si>
    <t>01912-771316</t>
  </si>
  <si>
    <t>01547-429346</t>
  </si>
  <si>
    <t>01969-886295</t>
  </si>
  <si>
    <t>01865-582521</t>
  </si>
  <si>
    <t>01746-394248</t>
  </si>
  <si>
    <t>01907-538519</t>
  </si>
  <si>
    <t>01907-538520</t>
  </si>
  <si>
    <t>01835-703603</t>
  </si>
  <si>
    <t>01937-864721</t>
  </si>
  <si>
    <t>01347-368228</t>
  </si>
  <si>
    <t>01912-771317</t>
  </si>
  <si>
    <t>01547-429347</t>
  </si>
  <si>
    <t>01969-886296</t>
  </si>
  <si>
    <t>01865-582522</t>
  </si>
  <si>
    <t>01746-394249</t>
  </si>
  <si>
    <t>01907-538521</t>
  </si>
  <si>
    <t>01907-538522</t>
  </si>
  <si>
    <t>01835-703604</t>
  </si>
  <si>
    <t>01937-864722</t>
  </si>
  <si>
    <t>01347-368229</t>
  </si>
  <si>
    <t>01912-771318</t>
  </si>
  <si>
    <t>01547-429348</t>
  </si>
  <si>
    <t>01969-886297</t>
  </si>
  <si>
    <t>01865-582523</t>
  </si>
  <si>
    <t>01746-394250</t>
  </si>
  <si>
    <t>01907-538523</t>
  </si>
  <si>
    <t>01907-538524</t>
  </si>
  <si>
    <t>01835-703605</t>
  </si>
  <si>
    <t>01937-864723</t>
  </si>
  <si>
    <t>01347-368230</t>
  </si>
  <si>
    <t>01912-771319</t>
  </si>
  <si>
    <t>01547-429349</t>
  </si>
  <si>
    <t>01969-886298</t>
  </si>
  <si>
    <t>01865-582524</t>
  </si>
  <si>
    <t>01746-394251</t>
  </si>
  <si>
    <t>01907-538525</t>
  </si>
  <si>
    <t>01907-538526</t>
  </si>
  <si>
    <t>01835-703606</t>
  </si>
  <si>
    <t>01937-864724</t>
  </si>
  <si>
    <t>01347-368231</t>
  </si>
  <si>
    <t>01912-771320</t>
  </si>
  <si>
    <t>01547-429350</t>
  </si>
  <si>
    <t>01969-886299</t>
  </si>
  <si>
    <t>01865-582525</t>
  </si>
  <si>
    <t>01746-394252</t>
  </si>
  <si>
    <t>01907-538527</t>
  </si>
  <si>
    <t>01907-538528</t>
  </si>
  <si>
    <t>01835-703607</t>
  </si>
  <si>
    <t>01937-864725</t>
  </si>
  <si>
    <t>01347-368232</t>
  </si>
  <si>
    <t>Today</t>
  </si>
  <si>
    <t>19:00</t>
  </si>
  <si>
    <t>10:00</t>
  </si>
  <si>
    <t>11:00</t>
  </si>
  <si>
    <t>Ms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</si>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</sst>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£&quot;#,##0.00;[Red]\-&quot;£&quot;#,##0.00"/>
    <numFmt numFmtId="44" formatCode="_-&quot;£&quot;* #,##0.00_-;\-&quot;£&quot;* #,##0.00_-;_-&quot;£&quot;* &quot;-&quot;??_-;_-@_-"/>
    <numFmt numFmtId="164" formatCode="[$-F800]dddd\,\ mmmm\ dd\,\ yyyy"/>
    <numFmt numFmtId="165" formatCode="&quot;£&quot;#,##0.00"/>
    <numFmt numFmtId="166" formatCode="dd/mm/yyyy;@"/>
    <numFmt numFmtId="167" formatCode="[$-F400]h:mm:ss\ AM/PM"/>
  </numFmts>
  <fonts count="2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72"/>
      <color theme="1"/>
      <name val="Chiller"/>
      <family val="5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67A97B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1"/>
      <color rgb="FF67A97B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4"/>
      <color theme="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67A97B"/>
        <bgColor indexed="64"/>
      </patternFill>
    </fill>
    <fill>
      <patternFill patternType="solid">
        <fgColor rgb="FF67A97B"/>
        <bgColor theme="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2"/>
        </stop>
      </gradientFill>
    </fill>
    <fill>
      <patternFill patternType="solid">
        <fgColor theme="2"/>
        <bgColor theme="0"/>
      </patternFill>
    </fill>
  </fills>
  <borders count="3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rgb="FF67A97B"/>
      </right>
      <top/>
      <bottom/>
      <diagonal/>
    </border>
    <border>
      <left/>
      <right/>
      <top/>
      <bottom style="thin">
        <color rgb="FF67A97B"/>
      </bottom>
      <diagonal/>
    </border>
    <border>
      <left style="thin">
        <color rgb="FF67A97B"/>
      </left>
      <right style="thin">
        <color rgb="FF67A97B"/>
      </right>
      <top style="thin">
        <color rgb="FF67A97B"/>
      </top>
      <bottom style="thin">
        <color rgb="FF67A97B"/>
      </bottom>
      <diagonal/>
    </border>
    <border>
      <left style="thin">
        <color rgb="FF67A97B"/>
      </left>
      <right/>
      <top style="thin">
        <color rgb="FF67A97B"/>
      </top>
      <bottom/>
      <diagonal/>
    </border>
    <border>
      <left/>
      <right/>
      <top style="thin">
        <color rgb="FF67A97B"/>
      </top>
      <bottom/>
      <diagonal/>
    </border>
    <border>
      <left/>
      <right style="thin">
        <color rgb="FF67A97B"/>
      </right>
      <top style="thin">
        <color rgb="FF67A97B"/>
      </top>
      <bottom/>
      <diagonal/>
    </border>
    <border>
      <left style="thin">
        <color rgb="FF67A97B"/>
      </left>
      <right style="thin">
        <color rgb="FF67A97B"/>
      </right>
      <top style="thin">
        <color rgb="FF67A97B"/>
      </top>
      <bottom/>
      <diagonal/>
    </border>
    <border>
      <left style="thin">
        <color rgb="FF67A97B"/>
      </left>
      <right/>
      <top style="thin">
        <color rgb="FF67A97B"/>
      </top>
      <bottom style="thin">
        <color rgb="FF67A97B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/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24994659260841701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24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3" borderId="0" xfId="0" applyFill="1"/>
    <xf numFmtId="14" fontId="0" fillId="5" borderId="2" xfId="0" applyNumberFormat="1" applyFill="1" applyBorder="1"/>
    <xf numFmtId="0" fontId="0" fillId="5" borderId="2" xfId="0" applyFill="1" applyBorder="1"/>
    <xf numFmtId="44" fontId="0" fillId="5" borderId="2" xfId="1" applyFont="1" applyFill="1" applyBorder="1"/>
    <xf numFmtId="14" fontId="0" fillId="0" borderId="2" xfId="0" applyNumberFormat="1" applyBorder="1"/>
    <xf numFmtId="44" fontId="0" fillId="0" borderId="4" xfId="1" applyFont="1" applyBorder="1"/>
    <xf numFmtId="0" fontId="0" fillId="0" borderId="0" xfId="0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14" fontId="0" fillId="0" borderId="3" xfId="0" applyNumberFormat="1" applyBorder="1"/>
    <xf numFmtId="0" fontId="0" fillId="7" borderId="0" xfId="0" applyFill="1"/>
    <xf numFmtId="0" fontId="10" fillId="3" borderId="4" xfId="0" applyFont="1" applyFill="1" applyBorder="1" applyAlignment="1">
      <alignment horizontal="center"/>
    </xf>
    <xf numFmtId="44" fontId="0" fillId="5" borderId="4" xfId="1" applyFont="1" applyFill="1" applyBorder="1"/>
    <xf numFmtId="0" fontId="4" fillId="7" borderId="0" xfId="0" applyFont="1" applyFill="1" applyAlignment="1">
      <alignment vertical="top"/>
    </xf>
    <xf numFmtId="0" fontId="0" fillId="7" borderId="0" xfId="0" applyFill="1" applyAlignment="1">
      <alignment horizontal="center"/>
    </xf>
    <xf numFmtId="44" fontId="0" fillId="7" borderId="0" xfId="1" applyFont="1" applyFill="1"/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4" fillId="3" borderId="0" xfId="0" applyFont="1" applyFill="1" applyAlignment="1">
      <alignment vertical="top"/>
    </xf>
    <xf numFmtId="0" fontId="0" fillId="6" borderId="2" xfId="0" applyFill="1" applyBorder="1"/>
    <xf numFmtId="0" fontId="4" fillId="3" borderId="0" xfId="0" applyFont="1" applyFill="1" applyAlignment="1">
      <alignment vertical="center"/>
    </xf>
    <xf numFmtId="0" fontId="0" fillId="5" borderId="4" xfId="0" applyFill="1" applyBorder="1"/>
    <xf numFmtId="0" fontId="10" fillId="3" borderId="11" xfId="0" applyFont="1" applyFill="1" applyBorder="1" applyAlignment="1">
      <alignment horizontal="center"/>
    </xf>
    <xf numFmtId="0" fontId="15" fillId="7" borderId="0" xfId="0" applyFont="1" applyFill="1" applyAlignment="1">
      <alignment horizontal="center"/>
    </xf>
    <xf numFmtId="164" fontId="15" fillId="7" borderId="0" xfId="0" applyNumberFormat="1" applyFont="1" applyFill="1" applyAlignment="1">
      <alignment horizontal="center"/>
    </xf>
    <xf numFmtId="0" fontId="0" fillId="3" borderId="16" xfId="0" applyFill="1" applyBorder="1"/>
    <xf numFmtId="0" fontId="0" fillId="3" borderId="17" xfId="0" applyFill="1" applyBorder="1"/>
    <xf numFmtId="0" fontId="11" fillId="7" borderId="0" xfId="0" applyFont="1" applyFill="1"/>
    <xf numFmtId="0" fontId="0" fillId="0" borderId="3" xfId="0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0" borderId="5" xfId="0" applyBorder="1" applyAlignment="1">
      <alignment horizontal="center"/>
    </xf>
    <xf numFmtId="165" fontId="0" fillId="7" borderId="0" xfId="0" applyNumberFormat="1" applyFill="1"/>
    <xf numFmtId="0" fontId="10" fillId="3" borderId="15" xfId="0" applyFont="1" applyFill="1" applyBorder="1"/>
    <xf numFmtId="2" fontId="0" fillId="0" borderId="2" xfId="0" applyNumberFormat="1" applyBorder="1" applyAlignment="1">
      <alignment horizontal="center"/>
    </xf>
    <xf numFmtId="2" fontId="0" fillId="5" borderId="2" xfId="0" applyNumberFormat="1" applyFill="1" applyBorder="1" applyAlignment="1">
      <alignment horizontal="center"/>
    </xf>
    <xf numFmtId="14" fontId="11" fillId="7" borderId="0" xfId="0" applyNumberFormat="1" applyFont="1" applyFill="1"/>
    <xf numFmtId="44" fontId="0" fillId="0" borderId="3" xfId="1" applyFont="1" applyBorder="1"/>
    <xf numFmtId="0" fontId="0" fillId="5" borderId="4" xfId="0" applyFill="1" applyBorder="1" applyAlignment="1">
      <alignment horizontal="center"/>
    </xf>
    <xf numFmtId="0" fontId="10" fillId="3" borderId="0" xfId="0" applyFont="1" applyFill="1"/>
    <xf numFmtId="17" fontId="0" fillId="7" borderId="0" xfId="0" applyNumberFormat="1" applyFill="1"/>
    <xf numFmtId="0" fontId="0" fillId="3" borderId="20" xfId="0" applyFill="1" applyBorder="1"/>
    <xf numFmtId="0" fontId="0" fillId="5" borderId="2" xfId="0" applyFill="1" applyBorder="1" applyAlignment="1">
      <alignment horizontal="left"/>
    </xf>
    <xf numFmtId="0" fontId="0" fillId="0" borderId="2" xfId="0" applyBorder="1" applyAlignment="1">
      <alignment horizontal="left"/>
    </xf>
    <xf numFmtId="44" fontId="0" fillId="7" borderId="0" xfId="0" applyNumberFormat="1" applyFill="1"/>
    <xf numFmtId="0" fontId="0" fillId="5" borderId="5" xfId="0" applyFill="1" applyBorder="1" applyAlignment="1">
      <alignment horizontal="left"/>
    </xf>
    <xf numFmtId="0" fontId="0" fillId="0" borderId="23" xfId="0" applyBorder="1"/>
    <xf numFmtId="0" fontId="0" fillId="0" borderId="24" xfId="0" applyBorder="1"/>
    <xf numFmtId="0" fontId="0" fillId="5" borderId="25" xfId="0" applyFill="1" applyBorder="1"/>
    <xf numFmtId="0" fontId="0" fillId="5" borderId="26" xfId="0" applyFill="1" applyBorder="1"/>
    <xf numFmtId="0" fontId="0" fillId="6" borderId="25" xfId="0" applyFill="1" applyBorder="1"/>
    <xf numFmtId="0" fontId="0" fillId="6" borderId="26" xfId="0" applyFill="1" applyBorder="1"/>
    <xf numFmtId="0" fontId="0" fillId="0" borderId="25" xfId="0" applyBorder="1"/>
    <xf numFmtId="0" fontId="0" fillId="0" borderId="26" xfId="0" applyBorder="1"/>
    <xf numFmtId="0" fontId="0" fillId="6" borderId="2" xfId="0" applyFill="1" applyBorder="1" applyAlignment="1">
      <alignment horizontal="center"/>
    </xf>
    <xf numFmtId="0" fontId="3" fillId="6" borderId="27" xfId="0" applyFont="1" applyFill="1" applyBorder="1"/>
    <xf numFmtId="0" fontId="3" fillId="6" borderId="22" xfId="0" applyFont="1" applyFill="1" applyBorder="1"/>
    <xf numFmtId="2" fontId="3" fillId="2" borderId="2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13" fillId="2" borderId="6" xfId="0" applyFont="1" applyFill="1" applyBorder="1"/>
    <xf numFmtId="0" fontId="13" fillId="2" borderId="7" xfId="0" applyFont="1" applyFill="1" applyBorder="1"/>
    <xf numFmtId="0" fontId="13" fillId="2" borderId="20" xfId="0" applyFont="1" applyFill="1" applyBorder="1"/>
    <xf numFmtId="0" fontId="13" fillId="2" borderId="8" xfId="0" applyFont="1" applyFill="1" applyBorder="1" applyAlignment="1">
      <alignment horizontal="center"/>
    </xf>
    <xf numFmtId="14" fontId="13" fillId="2" borderId="0" xfId="0" quotePrefix="1" applyNumberFormat="1" applyFont="1" applyFill="1"/>
    <xf numFmtId="0" fontId="13" fillId="2" borderId="0" xfId="0" applyFont="1" applyFill="1"/>
    <xf numFmtId="0" fontId="13" fillId="2" borderId="9" xfId="0" applyFont="1" applyFill="1" applyBorder="1"/>
    <xf numFmtId="0" fontId="0" fillId="3" borderId="6" xfId="0" applyFill="1" applyBorder="1" applyAlignment="1">
      <alignment horizontal="center"/>
    </xf>
    <xf numFmtId="0" fontId="0" fillId="2" borderId="2" xfId="0" applyFill="1" applyBorder="1"/>
    <xf numFmtId="20" fontId="0" fillId="7" borderId="0" xfId="0" applyNumberFormat="1" applyFill="1"/>
    <xf numFmtId="14" fontId="0" fillId="5" borderId="2" xfId="0" applyNumberForma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4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left"/>
    </xf>
    <xf numFmtId="44" fontId="0" fillId="0" borderId="3" xfId="1" applyFont="1" applyBorder="1" applyAlignment="1">
      <alignment horizontal="left"/>
    </xf>
    <xf numFmtId="2" fontId="0" fillId="0" borderId="3" xfId="1" applyNumberFormat="1" applyFont="1" applyBorder="1" applyAlignment="1">
      <alignment horizontal="left"/>
    </xf>
    <xf numFmtId="44" fontId="0" fillId="5" borderId="2" xfId="1" applyFont="1" applyFill="1" applyBorder="1" applyAlignment="1">
      <alignment horizontal="left"/>
    </xf>
    <xf numFmtId="2" fontId="0" fillId="5" borderId="2" xfId="1" applyNumberFormat="1" applyFont="1" applyFill="1" applyBorder="1" applyAlignment="1">
      <alignment horizontal="left"/>
    </xf>
    <xf numFmtId="44" fontId="0" fillId="0" borderId="2" xfId="1" applyFont="1" applyBorder="1" applyAlignment="1">
      <alignment horizontal="left"/>
    </xf>
    <xf numFmtId="2" fontId="0" fillId="0" borderId="2" xfId="1" applyNumberFormat="1" applyFont="1" applyBorder="1" applyAlignment="1">
      <alignment horizontal="left"/>
    </xf>
    <xf numFmtId="0" fontId="0" fillId="0" borderId="5" xfId="0" applyBorder="1" applyAlignment="1">
      <alignment horizontal="left"/>
    </xf>
    <xf numFmtId="44" fontId="0" fillId="0" borderId="0" xfId="1" applyFont="1" applyAlignment="1">
      <alignment horizontal="left"/>
    </xf>
    <xf numFmtId="2" fontId="0" fillId="0" borderId="0" xfId="1" applyNumberFormat="1" applyFont="1" applyAlignment="1">
      <alignment horizontal="left"/>
    </xf>
    <xf numFmtId="2" fontId="0" fillId="0" borderId="2" xfId="0" applyNumberFormat="1" applyBorder="1" applyAlignment="1">
      <alignment horizontal="left"/>
    </xf>
    <xf numFmtId="2" fontId="0" fillId="5" borderId="2" xfId="0" applyNumberFormat="1" applyFill="1" applyBorder="1" applyAlignment="1">
      <alignment horizontal="left"/>
    </xf>
    <xf numFmtId="44" fontId="4" fillId="3" borderId="0" xfId="1" applyFont="1" applyFill="1" applyAlignment="1">
      <alignment vertical="top"/>
    </xf>
    <xf numFmtId="44" fontId="0" fillId="3" borderId="0" xfId="1" applyFont="1" applyFill="1"/>
    <xf numFmtId="44" fontId="0" fillId="5" borderId="4" xfId="1" applyFont="1" applyFill="1" applyBorder="1" applyAlignment="1">
      <alignment horizontal="center"/>
    </xf>
    <xf numFmtId="44" fontId="10" fillId="3" borderId="11" xfId="1" applyFont="1" applyFill="1" applyBorder="1" applyAlignment="1">
      <alignment horizontal="center"/>
    </xf>
    <xf numFmtId="44" fontId="0" fillId="0" borderId="0" xfId="1" applyFont="1"/>
    <xf numFmtId="0" fontId="4" fillId="3" borderId="0" xfId="0" applyFont="1" applyFill="1" applyAlignment="1">
      <alignment horizontal="left" vertical="top"/>
    </xf>
    <xf numFmtId="0" fontId="9" fillId="7" borderId="0" xfId="0" applyFont="1" applyFill="1" applyProtection="1">
      <protection hidden="1"/>
    </xf>
    <xf numFmtId="0" fontId="11" fillId="7" borderId="0" xfId="0" applyFont="1" applyFill="1" applyProtection="1">
      <protection hidden="1"/>
    </xf>
    <xf numFmtId="0" fontId="0" fillId="7" borderId="0" xfId="0" applyFill="1" applyProtection="1">
      <protection hidden="1"/>
    </xf>
    <xf numFmtId="0" fontId="0" fillId="6" borderId="1" xfId="0" applyFill="1" applyBorder="1" applyAlignment="1" applyProtection="1">
      <alignment horizontal="center"/>
      <protection locked="0" hidden="1"/>
    </xf>
    <xf numFmtId="0" fontId="22" fillId="7" borderId="0" xfId="0" applyFont="1" applyFill="1" applyProtection="1">
      <protection hidden="1"/>
    </xf>
    <xf numFmtId="0" fontId="3" fillId="7" borderId="0" xfId="0" applyFont="1" applyFill="1" applyAlignment="1" applyProtection="1">
      <alignment horizontal="right"/>
      <protection hidden="1"/>
    </xf>
    <xf numFmtId="0" fontId="21" fillId="7" borderId="0" xfId="0" applyFont="1" applyFill="1" applyAlignment="1" applyProtection="1">
      <alignment horizontal="center"/>
      <protection hidden="1"/>
    </xf>
    <xf numFmtId="0" fontId="21" fillId="7" borderId="0" xfId="0" applyFont="1" applyFill="1" applyProtection="1">
      <protection hidden="1"/>
    </xf>
    <xf numFmtId="0" fontId="0" fillId="7" borderId="0" xfId="0" quotePrefix="1" applyFill="1" applyProtection="1">
      <protection hidden="1"/>
    </xf>
    <xf numFmtId="165" fontId="3" fillId="7" borderId="0" xfId="0" applyNumberFormat="1" applyFont="1" applyFill="1" applyAlignment="1" applyProtection="1">
      <alignment horizontal="center"/>
      <protection hidden="1"/>
    </xf>
    <xf numFmtId="164" fontId="9" fillId="7" borderId="0" xfId="0" applyNumberFormat="1" applyFont="1" applyFill="1" applyProtection="1">
      <protection hidden="1"/>
    </xf>
    <xf numFmtId="0" fontId="9" fillId="7" borderId="0" xfId="0" applyFont="1" applyFill="1" applyAlignment="1" applyProtection="1">
      <alignment horizontal="right"/>
      <protection hidden="1"/>
    </xf>
    <xf numFmtId="0" fontId="9" fillId="7" borderId="0" xfId="0" applyFont="1" applyFill="1" applyAlignment="1" applyProtection="1">
      <alignment horizontal="center"/>
      <protection hidden="1"/>
    </xf>
    <xf numFmtId="0" fontId="3" fillId="7" borderId="0" xfId="0" applyFont="1" applyFill="1" applyProtection="1">
      <protection hidden="1"/>
    </xf>
    <xf numFmtId="44" fontId="11" fillId="7" borderId="0" xfId="1" applyFont="1" applyFill="1" applyProtection="1">
      <protection hidden="1"/>
    </xf>
    <xf numFmtId="0" fontId="23" fillId="7" borderId="0" xfId="0" applyFont="1" applyFill="1" applyAlignment="1" applyProtection="1">
      <alignment horizontal="center"/>
      <protection hidden="1"/>
    </xf>
    <xf numFmtId="0" fontId="11" fillId="7" borderId="0" xfId="0" applyFont="1" applyFill="1" applyAlignment="1" applyProtection="1">
      <alignment horizontal="left"/>
      <protection hidden="1"/>
    </xf>
    <xf numFmtId="0" fontId="7" fillId="3" borderId="29" xfId="0" applyFont="1" applyFill="1" applyBorder="1" applyAlignment="1" applyProtection="1">
      <alignment horizontal="center"/>
      <protection hidden="1"/>
    </xf>
    <xf numFmtId="14" fontId="0" fillId="0" borderId="29" xfId="0" applyNumberFormat="1" applyBorder="1" applyAlignment="1" applyProtection="1">
      <alignment horizontal="center"/>
      <protection hidden="1"/>
    </xf>
    <xf numFmtId="0" fontId="0" fillId="0" borderId="29" xfId="0" applyBorder="1" applyAlignment="1" applyProtection="1">
      <alignment horizontal="center"/>
      <protection hidden="1"/>
    </xf>
    <xf numFmtId="0" fontId="0" fillId="0" borderId="30" xfId="0" applyBorder="1" applyAlignment="1" applyProtection="1">
      <alignment horizontal="center"/>
      <protection hidden="1"/>
    </xf>
    <xf numFmtId="44" fontId="0" fillId="0" borderId="30" xfId="1" applyFont="1" applyFill="1" applyBorder="1" applyAlignment="1" applyProtection="1">
      <alignment horizontal="center"/>
      <protection hidden="1"/>
    </xf>
    <xf numFmtId="14" fontId="0" fillId="0" borderId="30" xfId="0" applyNumberFormat="1" applyBorder="1" applyAlignment="1" applyProtection="1">
      <alignment horizontal="center"/>
      <protection hidden="1"/>
    </xf>
    <xf numFmtId="0" fontId="0" fillId="7" borderId="0" xfId="0" applyFill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Protection="1">
      <protection hidden="1"/>
    </xf>
    <xf numFmtId="14" fontId="8" fillId="7" borderId="0" xfId="0" applyNumberFormat="1" applyFont="1" applyFill="1" applyProtection="1">
      <protection hidden="1"/>
    </xf>
    <xf numFmtId="14" fontId="0" fillId="7" borderId="0" xfId="0" applyNumberFormat="1" applyFill="1" applyProtection="1">
      <protection hidden="1"/>
    </xf>
    <xf numFmtId="0" fontId="5" fillId="7" borderId="0" xfId="0" applyFont="1" applyFill="1" applyProtection="1">
      <protection hidden="1"/>
    </xf>
    <xf numFmtId="0" fontId="5" fillId="3" borderId="0" xfId="0" applyFont="1" applyFill="1" applyProtection="1">
      <protection hidden="1"/>
    </xf>
    <xf numFmtId="0" fontId="0" fillId="3" borderId="0" xfId="0" applyFill="1" applyProtection="1">
      <protection hidden="1"/>
    </xf>
    <xf numFmtId="0" fontId="9" fillId="3" borderId="0" xfId="0" applyFont="1" applyFill="1" applyProtection="1">
      <protection hidden="1"/>
    </xf>
    <xf numFmtId="0" fontId="10" fillId="3" borderId="0" xfId="0" applyFont="1" applyFill="1" applyAlignment="1" applyProtection="1">
      <alignment horizontal="center"/>
      <protection hidden="1"/>
    </xf>
    <xf numFmtId="0" fontId="10" fillId="3" borderId="12" xfId="0" applyFont="1" applyFill="1" applyBorder="1" applyAlignment="1" applyProtection="1">
      <alignment horizontal="center"/>
      <protection hidden="1"/>
    </xf>
    <xf numFmtId="14" fontId="10" fillId="3" borderId="0" xfId="0" applyNumberFormat="1" applyFont="1" applyFill="1" applyAlignment="1" applyProtection="1">
      <alignment horizontal="center"/>
      <protection hidden="1"/>
    </xf>
    <xf numFmtId="14" fontId="10" fillId="3" borderId="12" xfId="0" applyNumberFormat="1" applyFont="1" applyFill="1" applyBorder="1" applyAlignment="1" applyProtection="1">
      <alignment horizontal="center"/>
      <protection hidden="1"/>
    </xf>
    <xf numFmtId="49" fontId="10" fillId="3" borderId="0" xfId="0" applyNumberFormat="1" applyFont="1" applyFill="1" applyAlignment="1" applyProtection="1">
      <alignment horizontal="center"/>
      <protection hidden="1"/>
    </xf>
    <xf numFmtId="0" fontId="12" fillId="0" borderId="15" xfId="0" quotePrefix="1" applyFont="1" applyBorder="1" applyAlignment="1" applyProtection="1">
      <alignment horizontal="center"/>
      <protection hidden="1"/>
    </xf>
    <xf numFmtId="0" fontId="12" fillId="0" borderId="18" xfId="0" quotePrefix="1" applyFont="1" applyBorder="1" applyAlignment="1" applyProtection="1">
      <alignment horizontal="center"/>
      <protection hidden="1"/>
    </xf>
    <xf numFmtId="49" fontId="10" fillId="3" borderId="13" xfId="0" applyNumberFormat="1" applyFont="1" applyFill="1" applyBorder="1" applyAlignment="1" applyProtection="1">
      <alignment horizontal="center"/>
      <protection hidden="1"/>
    </xf>
    <xf numFmtId="0" fontId="12" fillId="0" borderId="19" xfId="0" quotePrefix="1" applyFont="1" applyBorder="1" applyAlignment="1" applyProtection="1">
      <alignment horizontal="center"/>
      <protection hidden="1"/>
    </xf>
    <xf numFmtId="0" fontId="12" fillId="0" borderId="14" xfId="0" quotePrefix="1" applyFont="1" applyBorder="1" applyAlignment="1" applyProtection="1">
      <alignment horizontal="center"/>
      <protection hidden="1"/>
    </xf>
    <xf numFmtId="165" fontId="0" fillId="7" borderId="0" xfId="0" applyNumberFormat="1" applyFill="1" applyAlignment="1" applyProtection="1">
      <alignment horizontal="center"/>
      <protection hidden="1"/>
    </xf>
    <xf numFmtId="14" fontId="11" fillId="7" borderId="0" xfId="0" applyNumberFormat="1" applyFont="1" applyFill="1" applyProtection="1">
      <protection hidden="1"/>
    </xf>
    <xf numFmtId="166" fontId="0" fillId="7" borderId="0" xfId="0" applyNumberFormat="1" applyFill="1" applyProtection="1">
      <protection locked="0" hidden="1"/>
    </xf>
    <xf numFmtId="0" fontId="11" fillId="7" borderId="0" xfId="0" applyFont="1" applyFill="1" applyProtection="1">
      <protection locked="0" hidden="1"/>
    </xf>
    <xf numFmtId="0" fontId="0" fillId="3" borderId="0" xfId="0" applyFill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8" borderId="2" xfId="0" applyFill="1" applyBorder="1" applyAlignment="1" applyProtection="1">
      <alignment horizontal="left"/>
      <protection locked="0" hidden="1"/>
    </xf>
    <xf numFmtId="0" fontId="0" fillId="0" borderId="3" xfId="0" applyBorder="1" applyAlignment="1" applyProtection="1">
      <alignment horizontal="center"/>
      <protection hidden="1"/>
    </xf>
    <xf numFmtId="0" fontId="0" fillId="0" borderId="3" xfId="1" applyNumberFormat="1" applyFont="1" applyBorder="1" applyAlignment="1" applyProtection="1">
      <alignment horizontal="center"/>
      <protection hidden="1"/>
    </xf>
    <xf numFmtId="44" fontId="0" fillId="7" borderId="0" xfId="1" applyFont="1" applyFill="1" applyProtection="1">
      <protection hidden="1"/>
    </xf>
    <xf numFmtId="0" fontId="3" fillId="7" borderId="0" xfId="0" applyFont="1" applyFill="1" applyAlignment="1" applyProtection="1">
      <alignment horizontal="center"/>
      <protection hidden="1"/>
    </xf>
    <xf numFmtId="0" fontId="3" fillId="7" borderId="0" xfId="0" applyFont="1" applyFill="1" applyAlignment="1" applyProtection="1">
      <alignment horizontal="left"/>
      <protection hidden="1"/>
    </xf>
    <xf numFmtId="0" fontId="0" fillId="7" borderId="0" xfId="0" applyFill="1" applyAlignment="1" applyProtection="1">
      <alignment horizontal="center" vertical="top"/>
      <protection hidden="1"/>
    </xf>
    <xf numFmtId="0" fontId="9" fillId="0" borderId="1" xfId="0" applyFont="1" applyBorder="1" applyAlignment="1" applyProtection="1">
      <alignment horizontal="center"/>
      <protection locked="0" hidden="1"/>
    </xf>
    <xf numFmtId="0" fontId="18" fillId="3" borderId="6" xfId="0" applyFont="1" applyFill="1" applyBorder="1" applyAlignment="1" applyProtection="1">
      <alignment horizontal="left" vertical="top"/>
      <protection hidden="1"/>
    </xf>
    <xf numFmtId="0" fontId="0" fillId="3" borderId="7" xfId="0" applyFill="1" applyBorder="1" applyProtection="1">
      <protection hidden="1"/>
    </xf>
    <xf numFmtId="0" fontId="0" fillId="3" borderId="20" xfId="0" applyFill="1" applyBorder="1" applyProtection="1">
      <protection hidden="1"/>
    </xf>
    <xf numFmtId="0" fontId="18" fillId="3" borderId="6" xfId="0" applyFont="1" applyFill="1" applyBorder="1" applyAlignment="1" applyProtection="1">
      <alignment horizontal="left" vertical="center"/>
      <protection hidden="1"/>
    </xf>
    <xf numFmtId="0" fontId="18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0" fillId="0" borderId="2" xfId="0" applyBorder="1" applyAlignment="1" applyProtection="1">
      <alignment horizontal="left"/>
      <protection hidden="1"/>
    </xf>
    <xf numFmtId="0" fontId="0" fillId="5" borderId="2" xfId="0" applyFill="1" applyBorder="1" applyAlignment="1" applyProtection="1">
      <alignment horizontal="center"/>
      <protection hidden="1"/>
    </xf>
    <xf numFmtId="0" fontId="0" fillId="0" borderId="2" xfId="0" applyBorder="1" applyProtection="1">
      <protection hidden="1"/>
    </xf>
    <xf numFmtId="0" fontId="0" fillId="5" borderId="2" xfId="0" applyFill="1" applyBorder="1" applyProtection="1">
      <protection hidden="1"/>
    </xf>
    <xf numFmtId="0" fontId="0" fillId="5" borderId="6" xfId="0" applyFill="1" applyBorder="1" applyProtection="1">
      <protection hidden="1"/>
    </xf>
    <xf numFmtId="0" fontId="0" fillId="5" borderId="20" xfId="0" applyFill="1" applyBorder="1" applyAlignment="1" applyProtection="1">
      <alignment horizontal="center"/>
      <protection hidden="1"/>
    </xf>
    <xf numFmtId="8" fontId="0" fillId="0" borderId="2" xfId="1" applyNumberFormat="1" applyFont="1" applyFill="1" applyBorder="1" applyAlignment="1" applyProtection="1">
      <alignment horizontal="center"/>
      <protection hidden="1"/>
    </xf>
    <xf numFmtId="8" fontId="0" fillId="0" borderId="2" xfId="1" applyNumberFormat="1" applyFont="1" applyBorder="1" applyProtection="1">
      <protection hidden="1"/>
    </xf>
    <xf numFmtId="0" fontId="6" fillId="0" borderId="2" xfId="1" applyNumberFormat="1" applyFont="1" applyBorder="1" applyAlignment="1" applyProtection="1">
      <alignment horizontal="center"/>
      <protection hidden="1"/>
    </xf>
    <xf numFmtId="44" fontId="0" fillId="0" borderId="2" xfId="1" applyFont="1" applyBorder="1" applyProtection="1">
      <protection hidden="1"/>
    </xf>
    <xf numFmtId="8" fontId="0" fillId="6" borderId="5" xfId="0" applyNumberFormat="1" applyFill="1" applyBorder="1" applyAlignment="1" applyProtection="1">
      <alignment horizontal="center"/>
      <protection hidden="1"/>
    </xf>
    <xf numFmtId="0" fontId="0" fillId="6" borderId="22" xfId="0" applyFill="1" applyBorder="1" applyAlignment="1" applyProtection="1">
      <alignment horizontal="center"/>
      <protection hidden="1"/>
    </xf>
    <xf numFmtId="0" fontId="0" fillId="5" borderId="2" xfId="0" applyFill="1" applyBorder="1" applyAlignment="1" applyProtection="1">
      <alignment horizontal="left"/>
      <protection hidden="1"/>
    </xf>
    <xf numFmtId="8" fontId="0" fillId="5" borderId="2" xfId="1" applyNumberFormat="1" applyFont="1" applyFill="1" applyBorder="1" applyAlignment="1" applyProtection="1">
      <alignment horizontal="center"/>
      <protection hidden="1"/>
    </xf>
    <xf numFmtId="8" fontId="0" fillId="5" borderId="2" xfId="1" applyNumberFormat="1" applyFont="1" applyFill="1" applyBorder="1" applyProtection="1">
      <protection hidden="1"/>
    </xf>
    <xf numFmtId="0" fontId="0" fillId="5" borderId="2" xfId="1" applyNumberFormat="1" applyFont="1" applyFill="1" applyBorder="1" applyAlignment="1" applyProtection="1">
      <alignment horizontal="center"/>
      <protection hidden="1"/>
    </xf>
    <xf numFmtId="44" fontId="0" fillId="5" borderId="2" xfId="1" applyFont="1" applyFill="1" applyBorder="1" applyProtection="1">
      <protection hidden="1"/>
    </xf>
    <xf numFmtId="0" fontId="0" fillId="5" borderId="8" xfId="0" applyFill="1" applyBorder="1" applyAlignment="1" applyProtection="1">
      <alignment horizontal="left"/>
      <protection hidden="1"/>
    </xf>
    <xf numFmtId="0" fontId="0" fillId="5" borderId="9" xfId="0" applyFill="1" applyBorder="1" applyAlignment="1" applyProtection="1">
      <alignment horizontal="left"/>
      <protection hidden="1"/>
    </xf>
    <xf numFmtId="8" fontId="0" fillId="6" borderId="5" xfId="1" applyNumberFormat="1" applyFont="1" applyFill="1" applyBorder="1" applyAlignment="1" applyProtection="1">
      <alignment horizontal="center"/>
      <protection hidden="1"/>
    </xf>
    <xf numFmtId="44" fontId="0" fillId="6" borderId="22" xfId="1" applyFont="1" applyFill="1" applyBorder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left"/>
      <protection hidden="1"/>
    </xf>
    <xf numFmtId="0" fontId="0" fillId="5" borderId="22" xfId="0" applyFill="1" applyBorder="1" applyAlignment="1" applyProtection="1">
      <alignment horizontal="left"/>
      <protection hidden="1"/>
    </xf>
    <xf numFmtId="0" fontId="0" fillId="0" borderId="2" xfId="1" applyNumberFormat="1" applyFont="1" applyBorder="1" applyAlignment="1" applyProtection="1">
      <alignment horizontal="center"/>
      <protection hidden="1"/>
    </xf>
    <xf numFmtId="8" fontId="0" fillId="6" borderId="21" xfId="0" applyNumberFormat="1" applyFill="1" applyBorder="1" applyAlignment="1" applyProtection="1">
      <alignment horizontal="center"/>
      <protection hidden="1"/>
    </xf>
    <xf numFmtId="0" fontId="0" fillId="6" borderId="10" xfId="0" applyFill="1" applyBorder="1" applyAlignment="1" applyProtection="1">
      <alignment horizontal="center"/>
      <protection hidden="1"/>
    </xf>
    <xf numFmtId="49" fontId="0" fillId="0" borderId="3" xfId="0" applyNumberFormat="1" applyBorder="1" applyAlignment="1" applyProtection="1">
      <alignment horizontal="center"/>
      <protection hidden="1"/>
    </xf>
    <xf numFmtId="44" fontId="0" fillId="0" borderId="3" xfId="1" applyFont="1" applyBorder="1" applyAlignment="1" applyProtection="1">
      <alignment horizontal="center"/>
      <protection hidden="1"/>
    </xf>
    <xf numFmtId="14" fontId="0" fillId="0" borderId="3" xfId="0" applyNumberFormat="1" applyBorder="1" applyAlignment="1" applyProtection="1">
      <alignment horizontal="center"/>
      <protection hidden="1"/>
    </xf>
    <xf numFmtId="49" fontId="0" fillId="0" borderId="3" xfId="0" applyNumberFormat="1" applyBorder="1"/>
    <xf numFmtId="0" fontId="13" fillId="2" borderId="8" xfId="0" applyFont="1" applyFill="1" applyBorder="1" applyAlignment="1" applyProtection="1">
      <alignment horizontal="center"/>
      <protection hidden="1"/>
    </xf>
    <xf numFmtId="0" fontId="13" fillId="2" borderId="0" xfId="0" applyFont="1" applyFill="1" applyProtection="1">
      <protection hidden="1"/>
    </xf>
    <xf numFmtId="0" fontId="13" fillId="2" borderId="9" xfId="0" applyFont="1" applyFill="1" applyBorder="1" applyProtection="1">
      <protection hidden="1"/>
    </xf>
    <xf numFmtId="0" fontId="13" fillId="2" borderId="8" xfId="0" applyFont="1" applyFill="1" applyBorder="1" applyProtection="1">
      <protection hidden="1"/>
    </xf>
    <xf numFmtId="0" fontId="0" fillId="2" borderId="8" xfId="0" applyFill="1" applyBorder="1" applyAlignment="1" applyProtection="1">
      <alignment horizontal="center"/>
      <protection hidden="1"/>
    </xf>
    <xf numFmtId="0" fontId="13" fillId="2" borderId="0" xfId="0" applyFont="1" applyFill="1" applyAlignment="1" applyProtection="1">
      <alignment horizontal="center"/>
      <protection hidden="1"/>
    </xf>
    <xf numFmtId="0" fontId="0" fillId="2" borderId="21" xfId="0" applyFill="1" applyBorder="1" applyAlignment="1" applyProtection="1">
      <alignment horizontal="center"/>
      <protection hidden="1"/>
    </xf>
    <xf numFmtId="0" fontId="16" fillId="2" borderId="28" xfId="0" applyFont="1" applyFill="1" applyBorder="1" applyAlignment="1" applyProtection="1">
      <alignment horizontal="center"/>
      <protection hidden="1"/>
    </xf>
    <xf numFmtId="0" fontId="16" fillId="2" borderId="28" xfId="0" applyFont="1" applyFill="1" applyBorder="1" applyAlignment="1" applyProtection="1">
      <alignment horizontal="left"/>
      <protection hidden="1"/>
    </xf>
    <xf numFmtId="0" fontId="16" fillId="2" borderId="10" xfId="0" applyFont="1" applyFill="1" applyBorder="1" applyAlignment="1" applyProtection="1">
      <alignment horizontal="left"/>
      <protection hidden="1"/>
    </xf>
    <xf numFmtId="0" fontId="13" fillId="6" borderId="8" xfId="0" quotePrefix="1" applyFont="1" applyFill="1" applyBorder="1" applyProtection="1">
      <protection hidden="1"/>
    </xf>
    <xf numFmtId="0" fontId="13" fillId="6" borderId="0" xfId="0" applyFont="1" applyFill="1" applyProtection="1">
      <protection hidden="1"/>
    </xf>
    <xf numFmtId="0" fontId="13" fillId="6" borderId="9" xfId="0" applyFont="1" applyFill="1" applyBorder="1" applyProtection="1">
      <protection hidden="1"/>
    </xf>
    <xf numFmtId="0" fontId="0" fillId="6" borderId="8" xfId="0" applyFill="1" applyBorder="1" applyAlignment="1" applyProtection="1">
      <alignment horizontal="center"/>
      <protection hidden="1"/>
    </xf>
    <xf numFmtId="0" fontId="3" fillId="6" borderId="0" xfId="0" applyFont="1" applyFill="1" applyProtection="1">
      <protection hidden="1"/>
    </xf>
    <xf numFmtId="0" fontId="0" fillId="6" borderId="0" xfId="0" applyFill="1" applyAlignment="1" applyProtection="1">
      <alignment horizontal="right"/>
      <protection hidden="1"/>
    </xf>
    <xf numFmtId="0" fontId="3" fillId="6" borderId="9" xfId="0" applyFont="1" applyFill="1" applyBorder="1" applyAlignment="1" applyProtection="1">
      <alignment horizontal="left"/>
      <protection hidden="1"/>
    </xf>
    <xf numFmtId="0" fontId="0" fillId="6" borderId="8" xfId="0" applyFill="1" applyBorder="1" applyProtection="1">
      <protection hidden="1"/>
    </xf>
    <xf numFmtId="0" fontId="0" fillId="6" borderId="0" xfId="0" applyFill="1" applyProtection="1">
      <protection hidden="1"/>
    </xf>
    <xf numFmtId="0" fontId="0" fillId="6" borderId="9" xfId="0" applyFill="1" applyBorder="1" applyProtection="1">
      <protection hidden="1"/>
    </xf>
    <xf numFmtId="0" fontId="0" fillId="6" borderId="21" xfId="0" applyFill="1" applyBorder="1" applyAlignment="1" applyProtection="1">
      <alignment horizontal="center"/>
      <protection hidden="1"/>
    </xf>
    <xf numFmtId="8" fontId="3" fillId="6" borderId="28" xfId="0" applyNumberFormat="1" applyFont="1" applyFill="1" applyBorder="1" applyAlignment="1" applyProtection="1">
      <alignment horizontal="left"/>
      <protection hidden="1"/>
    </xf>
    <xf numFmtId="0" fontId="0" fillId="6" borderId="28" xfId="0" applyFill="1" applyBorder="1" applyProtection="1">
      <protection hidden="1"/>
    </xf>
    <xf numFmtId="0" fontId="0" fillId="6" borderId="10" xfId="0" applyFill="1" applyBorder="1" applyProtection="1">
      <protection hidden="1"/>
    </xf>
    <xf numFmtId="14" fontId="3" fillId="6" borderId="0" xfId="0" applyNumberFormat="1" applyFont="1" applyFill="1" applyAlignment="1" applyProtection="1">
      <alignment horizontal="center"/>
      <protection hidden="1"/>
    </xf>
    <xf numFmtId="20" fontId="3" fillId="6" borderId="9" xfId="0" applyNumberFormat="1" applyFont="1" applyFill="1" applyBorder="1" applyAlignment="1" applyProtection="1">
      <alignment horizontal="left"/>
      <protection hidden="1"/>
    </xf>
    <xf numFmtId="0" fontId="0" fillId="6" borderId="21" xfId="0" applyFill="1" applyBorder="1" applyProtection="1">
      <protection hidden="1"/>
    </xf>
    <xf numFmtId="8" fontId="3" fillId="6" borderId="0" xfId="0" applyNumberFormat="1" applyFont="1" applyFill="1" applyAlignment="1" applyProtection="1">
      <alignment horizontal="left"/>
      <protection hidden="1"/>
    </xf>
    <xf numFmtId="0" fontId="0" fillId="6" borderId="2" xfId="0" applyFill="1" applyBorder="1" applyAlignment="1" applyProtection="1">
      <alignment horizontal="center"/>
      <protection locked="0" hidden="1"/>
    </xf>
    <xf numFmtId="0" fontId="9" fillId="6" borderId="2" xfId="0" applyFont="1" applyFill="1" applyBorder="1" applyAlignment="1" applyProtection="1">
      <alignment horizontal="center"/>
      <protection locked="0" hidden="1"/>
    </xf>
    <xf numFmtId="44" fontId="0" fillId="0" borderId="3" xfId="0" applyNumberFormat="1" applyBorder="1" applyAlignment="1">
      <alignment horizontal="center"/>
    </xf>
    <xf numFmtId="49" fontId="0" fillId="5" borderId="2" xfId="0" applyNumberFormat="1" applyFill="1" applyBorder="1"/>
    <xf numFmtId="0" fontId="13" fillId="6" borderId="2" xfId="0" applyFont="1" applyFill="1" applyBorder="1" applyAlignment="1" applyProtection="1">
      <alignment horizontal="center"/>
      <protection locked="0" hidden="1"/>
    </xf>
    <xf numFmtId="0" fontId="0" fillId="7" borderId="0" xfId="0" applyFill="1" applyProtection="1">
      <protection locked="0" hidden="1"/>
    </xf>
    <xf numFmtId="0" fontId="0" fillId="0" borderId="0" xfId="0" pivotButton="1" applyProtection="1">
      <protection locked="0" hidden="1"/>
    </xf>
    <xf numFmtId="0" fontId="10" fillId="3" borderId="4" xfId="0" applyFont="1" applyFill="1" applyBorder="1" applyAlignment="1" applyProtection="1">
      <alignment horizontal="center"/>
      <protection locked="0"/>
    </xf>
    <xf numFmtId="0" fontId="0" fillId="8" borderId="5" xfId="0" applyFill="1" applyBorder="1" applyAlignment="1" applyProtection="1">
      <alignment horizontal="left"/>
      <protection locked="0" hidden="1"/>
    </xf>
    <xf numFmtId="0" fontId="0" fillId="8" borderId="22" xfId="0" applyFill="1" applyBorder="1" applyAlignment="1" applyProtection="1">
      <alignment horizontal="left"/>
      <protection locked="0" hidden="1"/>
    </xf>
    <xf numFmtId="0" fontId="0" fillId="0" borderId="2" xfId="0" applyBorder="1" applyAlignment="1">
      <alignment horizontal="center" vertical="center"/>
    </xf>
    <xf numFmtId="0" fontId="0" fillId="7" borderId="31" xfId="0" applyFill="1" applyBorder="1"/>
    <xf numFmtId="0" fontId="8" fillId="7" borderId="0" xfId="0" applyFont="1" applyFill="1" applyAlignment="1" applyProtection="1">
      <alignment horizontal="right"/>
      <protection hidden="1"/>
    </xf>
    <xf numFmtId="0" fontId="3" fillId="6" borderId="5" xfId="0" applyFont="1" applyFill="1" applyBorder="1" applyAlignment="1">
      <alignment horizontal="center"/>
    </xf>
    <xf numFmtId="0" fontId="3" fillId="6" borderId="27" xfId="0" applyFont="1" applyFill="1" applyBorder="1" applyAlignment="1">
      <alignment horizontal="left"/>
    </xf>
    <xf numFmtId="0" fontId="3" fillId="6" borderId="22" xfId="0" applyFont="1" applyFill="1" applyBorder="1" applyAlignment="1">
      <alignment horizontal="left"/>
    </xf>
    <xf numFmtId="167" fontId="0" fillId="5" borderId="2" xfId="0" applyNumberFormat="1" applyFill="1" applyBorder="1" applyAlignment="1">
      <alignment horizontal="center"/>
    </xf>
    <xf numFmtId="44" fontId="0" fillId="0" borderId="5" xfId="0" applyNumberFormat="1" applyBorder="1" applyAlignment="1">
      <alignment horizontal="center"/>
    </xf>
    <xf numFmtId="0" fontId="2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0" fontId="14" fillId="3" borderId="0" xfId="0" applyFont="1" applyFill="1" applyAlignment="1" applyProtection="1">
      <alignment horizontal="left" vertical="center"/>
      <protection hidden="1"/>
    </xf>
    <xf numFmtId="0" fontId="4" fillId="4" borderId="0" xfId="0" applyFont="1" applyFill="1" applyAlignment="1">
      <alignment horizontal="center" vertical="top"/>
    </xf>
    <xf numFmtId="0" fontId="4" fillId="9" borderId="0" xfId="0" applyFont="1" applyFill="1" applyAlignment="1">
      <alignment horizontal="center" vertical="top"/>
    </xf>
    <xf numFmtId="0" fontId="4" fillId="3" borderId="0" xfId="0" applyFont="1" applyFill="1" applyAlignment="1">
      <alignment horizontal="left" vertical="center"/>
    </xf>
    <xf numFmtId="0" fontId="18" fillId="3" borderId="28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8" borderId="5" xfId="0" applyFill="1" applyBorder="1" applyAlignment="1" applyProtection="1">
      <alignment horizontal="center"/>
      <protection locked="0" hidden="1"/>
    </xf>
    <xf numFmtId="0" fontId="0" fillId="8" borderId="22" xfId="0" applyFill="1" applyBorder="1" applyAlignment="1" applyProtection="1">
      <alignment horizontal="center"/>
      <protection locked="0" hidden="1"/>
    </xf>
    <xf numFmtId="0" fontId="7" fillId="3" borderId="5" xfId="0" applyFont="1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4" fillId="3" borderId="0" xfId="0" applyFont="1" applyFill="1" applyAlignment="1">
      <alignment horizontal="left" vertical="top"/>
    </xf>
    <xf numFmtId="0" fontId="19" fillId="3" borderId="0" xfId="0" applyFont="1" applyFill="1" applyAlignment="1">
      <alignment horizontal="left" vertical="center"/>
    </xf>
    <xf numFmtId="0" fontId="20" fillId="3" borderId="0" xfId="0" applyFont="1" applyFill="1" applyAlignment="1">
      <alignment horizontal="left" vertical="center"/>
    </xf>
  </cellXfs>
  <cellStyles count="2">
    <cellStyle name="Currency" xfId="1" builtinId="4"/>
    <cellStyle name="Normal" xfId="0" builtinId="0"/>
  </cellStyles>
  <dxfs count="96">
    <dxf>
      <fill>
        <patternFill>
          <bgColor rgb="FFFF5050"/>
        </patternFill>
      </fill>
    </dxf>
    <dxf>
      <fill>
        <patternFill>
          <bgColor rgb="FF00B0F0"/>
        </patternFill>
      </fill>
    </dxf>
    <dxf>
      <protection locked="0" hidden="1"/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ill>
        <patternFill patternType="lightDown">
          <fgColor rgb="FF67A97B"/>
        </patternFill>
      </fill>
    </dxf>
    <dxf>
      <font>
        <b val="0"/>
        <i val="0"/>
        <color rgb="FFFF0000"/>
      </font>
      <fill>
        <patternFill>
          <bgColor theme="0"/>
        </patternFill>
      </fill>
      <border>
        <left style="dashDotDot">
          <color rgb="FFFF0000"/>
        </left>
        <right style="dashDotDot">
          <color rgb="FFFF0000"/>
        </right>
        <top style="dashDotDot">
          <color rgb="FFFF0000"/>
        </top>
        <bottom style="dashDotDot">
          <color rgb="FFFF0000"/>
        </bottom>
        <vertical/>
        <horizontal/>
      </border>
    </dxf>
    <dxf>
      <font>
        <color rgb="FFFF0000"/>
      </font>
      <fill>
        <patternFill>
          <bgColor theme="0" tint="-4.9989318521683403E-2"/>
        </patternFill>
      </fill>
      <border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67A97B"/>
      <color rgb="FFC8E2DF"/>
      <color rgb="FFFF9999"/>
      <color rgb="FFFF5050"/>
      <color rgb="FF4F8A8E"/>
      <color rgb="FFE1EF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Expenses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031458738294184E-2"/>
          <c:y val="0.12075277536716414"/>
          <c:w val="0.89065759240987097"/>
          <c:h val="0.721745368592048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Statistics!$C$10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Statistics!$B$11:$B$22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Statistics!$C$11:$C$22</c:f>
              <c:numCache>
                <c:formatCode>"£"#,##0.00_);[Red]\("£"#,##0.00\)</c:formatCode>
                <c:ptCount val="12"/>
                <c:pt idx="0">
                  <c:v>550</c:v>
                </c:pt>
                <c:pt idx="1">
                  <c:v>820</c:v>
                </c:pt>
                <c:pt idx="2">
                  <c:v>459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51-45F3-B170-0F77F59696C2}"/>
            </c:ext>
          </c:extLst>
        </c:ser>
        <c:ser>
          <c:idx val="1"/>
          <c:order val="1"/>
          <c:tx>
            <c:strRef>
              <c:f>Statistics!$D$10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Statistics!$B$11:$B$22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Statistics!$D$11:$D$22</c:f>
              <c:numCache>
                <c:formatCode>"£"#,##0.00_);[Red]\("£"#,##0.00\)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51-45F3-B170-0F77F5969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2103023"/>
        <c:axId val="1192105423"/>
      </c:barChart>
      <c:catAx>
        <c:axId val="1192103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105423"/>
        <c:crosses val="autoZero"/>
        <c:auto val="1"/>
        <c:lblAlgn val="ctr"/>
        <c:lblOffset val="100"/>
        <c:noMultiLvlLbl val="0"/>
      </c:catAx>
      <c:valAx>
        <c:axId val="1192105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_);[Red]\(&quot;£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103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Total Income</a:t>
            </a:r>
          </a:p>
          <a:p>
            <a:pPr>
              <a:defRPr/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Statistics!$G$10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Statistics!$F$11:$F$22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Statistics!$G$11:$G$22</c:f>
              <c:numCache>
                <c:formatCode>"£"#,##0.00_);[Red]\("£"#,##0.00\)</c:formatCode>
                <c:ptCount val="12"/>
                <c:pt idx="0">
                  <c:v>0</c:v>
                </c:pt>
                <c:pt idx="1">
                  <c:v>1758.25</c:v>
                </c:pt>
                <c:pt idx="2">
                  <c:v>479.85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6-4651-8971-276B63041EFD}"/>
            </c:ext>
          </c:extLst>
        </c:ser>
        <c:ser>
          <c:idx val="1"/>
          <c:order val="1"/>
          <c:tx>
            <c:strRef>
              <c:f>Statistics!$H$10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Statistics!$F$11:$F$22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Statistics!$H$11:$H$22</c:f>
              <c:numCache>
                <c:formatCode>"£"#,##0.00_);[Red]\("£"#,##0.00\)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46-4651-8971-276B63041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2110703"/>
        <c:axId val="1192110223"/>
      </c:barChart>
      <c:catAx>
        <c:axId val="1192110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110223"/>
        <c:crosses val="autoZero"/>
        <c:auto val="1"/>
        <c:lblAlgn val="ctr"/>
        <c:lblOffset val="100"/>
        <c:noMultiLvlLbl val="0"/>
      </c:catAx>
      <c:valAx>
        <c:axId val="1192110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_);[Red]\(&quot;£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110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Statistics!$K$10</c:f>
              <c:strCache>
                <c:ptCount val="1"/>
                <c:pt idx="0">
                  <c:v>2024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Statistics!$J$11:$J$22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Statistics!$K$11:$K$22</c:f>
              <c:numCache>
                <c:formatCode>"£"#,##0.00_);[Red]\("£"#,##0.00\)</c:formatCode>
                <c:ptCount val="12"/>
                <c:pt idx="0">
                  <c:v>-550</c:v>
                </c:pt>
                <c:pt idx="1">
                  <c:v>938.25</c:v>
                </c:pt>
                <c:pt idx="2">
                  <c:v>20.850000000000023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30-4277-84EC-A57FE3E42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2104463"/>
        <c:axId val="1192088623"/>
      </c:barChart>
      <c:catAx>
        <c:axId val="1192104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088623"/>
        <c:crosses val="autoZero"/>
        <c:auto val="1"/>
        <c:lblAlgn val="ctr"/>
        <c:lblOffset val="100"/>
        <c:noMultiLvlLbl val="0"/>
      </c:catAx>
      <c:valAx>
        <c:axId val="119208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.00_);[Red]\(&quot;£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1044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11" dropStyle="combo" dx="22" fmlaLink="C16" fmlaRange="Activities!$B$10:$B$20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13" dropStyle="combo" dx="22" fmlaLink="$H$21" fmlaRange="$K$12:$K$24" sel="1" val="0"/>
</file>

<file path=xl/ctrlProps/ctrlProp8.xml><?xml version="1.0" encoding="utf-8"?>
<formControlPr xmlns="http://schemas.microsoft.com/office/spreadsheetml/2009/9/main" objectType="Drop" dropLines="7" dropStyle="combo" dx="22" fmlaLink="$D$20" fmlaRange="$Q$45:$Q$51" sel="2" val="0"/>
</file>

<file path=xl/ctrlProps/ctrlProp9.xml><?xml version="1.0" encoding="utf-8"?>
<formControlPr xmlns="http://schemas.microsoft.com/office/spreadsheetml/2009/9/main" objectType="CheckBox" checked="Checked" fmlaLink="$D$22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Drop" dropLines="4" dropStyle="combo" dx="22" fmlaLink="C9" fmlaRange="$S$23:$S$26" sel="0" val="0"/>
</file>

<file path=xl/ctrlProps/ctrlProp22.xml><?xml version="1.0" encoding="utf-8"?>
<formControlPr xmlns="http://schemas.microsoft.com/office/spreadsheetml/2009/9/main" objectType="Drop" dropLines="3" dropStyle="combo" dx="22" fmlaLink="C13" fmlaRange="$S$28:$S$30" sel="0" val="0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Drop" dropLines="15" dropStyle="combo" dx="22" fmlaLink="$E$18" fmlaRange="$O$14:$O$31" noThreeD="1" sel="0" val="0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5</xdr:row>
      <xdr:rowOff>0</xdr:rowOff>
    </xdr:from>
    <xdr:to>
      <xdr:col>15</xdr:col>
      <xdr:colOff>495300</xdr:colOff>
      <xdr:row>16</xdr:row>
      <xdr:rowOff>53568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0" y="952500"/>
          <a:ext cx="7772400" cy="2149068"/>
        </a:xfrm>
        <a:prstGeom prst="rect">
          <a:avLst/>
        </a:prstGeom>
      </xdr:spPr>
    </xdr:pic>
    <xdr:clientData/>
  </xdr:twoCellAnchor>
  <xdr:twoCellAnchor>
    <xdr:from>
      <xdr:col>6</xdr:col>
      <xdr:colOff>9526</xdr:colOff>
      <xdr:row>23</xdr:row>
      <xdr:rowOff>19050</xdr:rowOff>
    </xdr:from>
    <xdr:to>
      <xdr:col>7</xdr:col>
      <xdr:colOff>299926</xdr:colOff>
      <xdr:row>24</xdr:row>
      <xdr:rowOff>161925</xdr:rowOff>
    </xdr:to>
    <xdr:sp macro="[0]!go_booking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114801" y="4400550"/>
          <a:ext cx="900000" cy="333375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chemeClr val="bg2"/>
              </a:solidFill>
            </a:rPr>
            <a:t>Booking</a:t>
          </a:r>
        </a:p>
        <a:p>
          <a:pPr algn="l"/>
          <a:endParaRPr lang="en-GB" sz="1200" b="1">
            <a:solidFill>
              <a:schemeClr val="bg2"/>
            </a:solidFill>
          </a:endParaRPr>
        </a:p>
      </xdr:txBody>
    </xdr:sp>
    <xdr:clientData/>
  </xdr:twoCellAnchor>
  <xdr:twoCellAnchor>
    <xdr:from>
      <xdr:col>7</xdr:col>
      <xdr:colOff>390526</xdr:colOff>
      <xdr:row>23</xdr:row>
      <xdr:rowOff>19050</xdr:rowOff>
    </xdr:from>
    <xdr:to>
      <xdr:col>8</xdr:col>
      <xdr:colOff>557101</xdr:colOff>
      <xdr:row>24</xdr:row>
      <xdr:rowOff>161925</xdr:rowOff>
    </xdr:to>
    <xdr:sp macro="[0]!go_invoices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105401" y="4400550"/>
          <a:ext cx="900000" cy="333375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chemeClr val="bg2"/>
              </a:solidFill>
            </a:rPr>
            <a:t>Invoices</a:t>
          </a:r>
        </a:p>
        <a:p>
          <a:pPr algn="l"/>
          <a:endParaRPr lang="en-GB" sz="1200" b="1">
            <a:solidFill>
              <a:schemeClr val="bg2"/>
            </a:solidFill>
          </a:endParaRPr>
        </a:p>
      </xdr:txBody>
    </xdr:sp>
    <xdr:clientData/>
  </xdr:twoCellAnchor>
  <xdr:twoCellAnchor>
    <xdr:from>
      <xdr:col>9</xdr:col>
      <xdr:colOff>57151</xdr:colOff>
      <xdr:row>23</xdr:row>
      <xdr:rowOff>19050</xdr:rowOff>
    </xdr:from>
    <xdr:to>
      <xdr:col>10</xdr:col>
      <xdr:colOff>347551</xdr:colOff>
      <xdr:row>24</xdr:row>
      <xdr:rowOff>161925</xdr:rowOff>
    </xdr:to>
    <xdr:sp macro="[0]!go_members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115051" y="4400550"/>
          <a:ext cx="900000" cy="333375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chemeClr val="bg2"/>
              </a:solidFill>
            </a:rPr>
            <a:t>Members</a:t>
          </a:r>
        </a:p>
        <a:p>
          <a:pPr algn="l"/>
          <a:endParaRPr lang="en-GB" sz="1200" b="1">
            <a:solidFill>
              <a:schemeClr val="bg2"/>
            </a:solidFill>
          </a:endParaRPr>
        </a:p>
      </xdr:txBody>
    </xdr:sp>
    <xdr:clientData/>
  </xdr:twoCellAnchor>
  <xdr:twoCellAnchor>
    <xdr:from>
      <xdr:col>10</xdr:col>
      <xdr:colOff>438151</xdr:colOff>
      <xdr:row>23</xdr:row>
      <xdr:rowOff>19050</xdr:rowOff>
    </xdr:from>
    <xdr:to>
      <xdr:col>12</xdr:col>
      <xdr:colOff>118951</xdr:colOff>
      <xdr:row>24</xdr:row>
      <xdr:rowOff>161925</xdr:rowOff>
    </xdr:to>
    <xdr:sp macro="[0]!go_staff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7105651" y="4400550"/>
          <a:ext cx="900000" cy="333375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chemeClr val="bg2"/>
              </a:solidFill>
            </a:rPr>
            <a:t>Staff</a:t>
          </a:r>
        </a:p>
        <a:p>
          <a:pPr algn="l"/>
          <a:endParaRPr lang="en-GB" sz="1200" b="1">
            <a:solidFill>
              <a:schemeClr val="bg2"/>
            </a:solidFill>
          </a:endParaRPr>
        </a:p>
      </xdr:txBody>
    </xdr:sp>
    <xdr:clientData/>
  </xdr:twoCellAnchor>
  <xdr:twoCellAnchor>
    <xdr:from>
      <xdr:col>12</xdr:col>
      <xdr:colOff>228601</xdr:colOff>
      <xdr:row>23</xdr:row>
      <xdr:rowOff>28575</xdr:rowOff>
    </xdr:from>
    <xdr:to>
      <xdr:col>13</xdr:col>
      <xdr:colOff>519001</xdr:colOff>
      <xdr:row>24</xdr:row>
      <xdr:rowOff>171450</xdr:rowOff>
    </xdr:to>
    <xdr:sp macro="[0]!go_Wages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8115301" y="4410075"/>
          <a:ext cx="900000" cy="333375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chemeClr val="bg2"/>
              </a:solidFill>
            </a:rPr>
            <a:t>Wages</a:t>
          </a:r>
        </a:p>
        <a:p>
          <a:pPr algn="l"/>
          <a:endParaRPr lang="en-GB" sz="1200" b="1">
            <a:solidFill>
              <a:schemeClr val="bg2"/>
            </a:solidFill>
          </a:endParaRPr>
        </a:p>
      </xdr:txBody>
    </xdr:sp>
    <xdr:clientData/>
  </xdr:twoCellAnchor>
  <xdr:twoCellAnchor>
    <xdr:from>
      <xdr:col>15</xdr:col>
      <xdr:colOff>438151</xdr:colOff>
      <xdr:row>23</xdr:row>
      <xdr:rowOff>9525</xdr:rowOff>
    </xdr:from>
    <xdr:to>
      <xdr:col>17</xdr:col>
      <xdr:colOff>118951</xdr:colOff>
      <xdr:row>24</xdr:row>
      <xdr:rowOff>152400</xdr:rowOff>
    </xdr:to>
    <xdr:sp macro="[0]!go_st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0153651" y="4391025"/>
          <a:ext cx="900000" cy="333375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chemeClr val="bg2"/>
              </a:solidFill>
            </a:rPr>
            <a:t>Statistic</a:t>
          </a:r>
        </a:p>
        <a:p>
          <a:pPr algn="l"/>
          <a:endParaRPr lang="en-GB" sz="1200" b="1">
            <a:solidFill>
              <a:schemeClr val="bg2"/>
            </a:solidFill>
          </a:endParaRPr>
        </a:p>
      </xdr:txBody>
    </xdr:sp>
    <xdr:clientData/>
  </xdr:twoCellAnchor>
  <xdr:twoCellAnchor>
    <xdr:from>
      <xdr:col>14</xdr:col>
      <xdr:colOff>38101</xdr:colOff>
      <xdr:row>23</xdr:row>
      <xdr:rowOff>19050</xdr:rowOff>
    </xdr:from>
    <xdr:to>
      <xdr:col>15</xdr:col>
      <xdr:colOff>328501</xdr:colOff>
      <xdr:row>24</xdr:row>
      <xdr:rowOff>161925</xdr:rowOff>
    </xdr:to>
    <xdr:sp macro="[0]!pivotWag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144001" y="4400550"/>
          <a:ext cx="900000" cy="333375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200" b="1">
              <a:solidFill>
                <a:schemeClr val="bg2"/>
              </a:solidFill>
            </a:rPr>
            <a:t>WagePivot</a:t>
          </a:r>
        </a:p>
        <a:p>
          <a:pPr algn="l"/>
          <a:endParaRPr lang="en-GB" sz="1200" b="1">
            <a:solidFill>
              <a:schemeClr val="bg2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222387</xdr:colOff>
      <xdr:row>0</xdr:row>
      <xdr:rowOff>41413</xdr:rowOff>
    </xdr:from>
    <xdr:to>
      <xdr:col>3</xdr:col>
      <xdr:colOff>615172</xdr:colOff>
      <xdr:row>4</xdr:row>
      <xdr:rowOff>60463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387" y="41413"/>
          <a:ext cx="2821660" cy="781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15</xdr:row>
          <xdr:rowOff>9525</xdr:rowOff>
        </xdr:from>
        <xdr:to>
          <xdr:col>3</xdr:col>
          <xdr:colOff>85725</xdr:colOff>
          <xdr:row>16</xdr:row>
          <xdr:rowOff>38100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30</xdr:row>
          <xdr:rowOff>28575</xdr:rowOff>
        </xdr:from>
        <xdr:to>
          <xdr:col>16</xdr:col>
          <xdr:colOff>714375</xdr:colOff>
          <xdr:row>31</xdr:row>
          <xdr:rowOff>161925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30</xdr:row>
          <xdr:rowOff>28575</xdr:rowOff>
        </xdr:from>
        <xdr:to>
          <xdr:col>15</xdr:col>
          <xdr:colOff>276225</xdr:colOff>
          <xdr:row>31</xdr:row>
          <xdr:rowOff>161925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30</xdr:row>
          <xdr:rowOff>28575</xdr:rowOff>
        </xdr:from>
        <xdr:to>
          <xdr:col>2</xdr:col>
          <xdr:colOff>47625</xdr:colOff>
          <xdr:row>31</xdr:row>
          <xdr:rowOff>161925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30</xdr:row>
          <xdr:rowOff>28575</xdr:rowOff>
        </xdr:from>
        <xdr:to>
          <xdr:col>11</xdr:col>
          <xdr:colOff>657225</xdr:colOff>
          <xdr:row>31</xdr:row>
          <xdr:rowOff>161925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Invoices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762000</xdr:colOff>
          <xdr:row>30</xdr:row>
          <xdr:rowOff>28575</xdr:rowOff>
        </xdr:from>
        <xdr:to>
          <xdr:col>13</xdr:col>
          <xdr:colOff>0</xdr:colOff>
          <xdr:row>31</xdr:row>
          <xdr:rowOff>161925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Members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171450</xdr:rowOff>
        </xdr:from>
        <xdr:to>
          <xdr:col>6</xdr:col>
          <xdr:colOff>152400</xdr:colOff>
          <xdr:row>20</xdr:row>
          <xdr:rowOff>38100</xdr:rowOff>
        </xdr:to>
        <xdr:sp macro="" textlink="">
          <xdr:nvSpPr>
            <xdr:cNvPr id="3083" name="Drop Dow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</xdr:row>
          <xdr:rowOff>171450</xdr:rowOff>
        </xdr:from>
        <xdr:to>
          <xdr:col>3</xdr:col>
          <xdr:colOff>161925</xdr:colOff>
          <xdr:row>20</xdr:row>
          <xdr:rowOff>57150</xdr:rowOff>
        </xdr:to>
        <xdr:sp macro="" textlink="">
          <xdr:nvSpPr>
            <xdr:cNvPr id="3084" name="Drop Dow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20</xdr:row>
          <xdr:rowOff>133350</xdr:rowOff>
        </xdr:from>
        <xdr:to>
          <xdr:col>3</xdr:col>
          <xdr:colOff>476250</xdr:colOff>
          <xdr:row>22</xdr:row>
          <xdr:rowOff>38100</xdr:rowOff>
        </xdr:to>
        <xdr:sp macro="" textlink="">
          <xdr:nvSpPr>
            <xdr:cNvPr id="3086" name="Check Box 14" descr="Instructor&#10;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oneCell">
    <xdr:from>
      <xdr:col>9</xdr:col>
      <xdr:colOff>910054</xdr:colOff>
      <xdr:row>6</xdr:row>
      <xdr:rowOff>79510</xdr:rowOff>
    </xdr:from>
    <xdr:to>
      <xdr:col>18</xdr:col>
      <xdr:colOff>486303</xdr:colOff>
      <xdr:row>26</xdr:row>
      <xdr:rowOff>116992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054" y="1222510"/>
          <a:ext cx="7520099" cy="389510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1057275</xdr:colOff>
      <xdr:row>0</xdr:row>
      <xdr:rowOff>171450</xdr:rowOff>
    </xdr:from>
    <xdr:to>
      <xdr:col>4</xdr:col>
      <xdr:colOff>95284</xdr:colOff>
      <xdr:row>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7275" y="171450"/>
          <a:ext cx="2828959" cy="781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5</xdr:row>
          <xdr:rowOff>57150</xdr:rowOff>
        </xdr:from>
        <xdr:to>
          <xdr:col>2</xdr:col>
          <xdr:colOff>171450</xdr:colOff>
          <xdr:row>6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57150</xdr:rowOff>
        </xdr:from>
        <xdr:to>
          <xdr:col>3</xdr:col>
          <xdr:colOff>133350</xdr:colOff>
          <xdr:row>6</xdr:row>
          <xdr:rowOff>152400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Booking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238125</xdr:colOff>
          <xdr:row>5</xdr:row>
          <xdr:rowOff>47625</xdr:rowOff>
        </xdr:from>
        <xdr:to>
          <xdr:col>7</xdr:col>
          <xdr:colOff>142875</xdr:colOff>
          <xdr:row>6</xdr:row>
          <xdr:rowOff>142875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Members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885825</xdr:colOff>
          <xdr:row>5</xdr:row>
          <xdr:rowOff>47625</xdr:rowOff>
        </xdr:from>
        <xdr:to>
          <xdr:col>6</xdr:col>
          <xdr:colOff>133350</xdr:colOff>
          <xdr:row>6</xdr:row>
          <xdr:rowOff>142875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257175</xdr:colOff>
          <xdr:row>5</xdr:row>
          <xdr:rowOff>47625</xdr:rowOff>
        </xdr:from>
        <xdr:to>
          <xdr:col>8</xdr:col>
          <xdr:colOff>171450</xdr:colOff>
          <xdr:row>6</xdr:row>
          <xdr:rowOff>152400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914400</xdr:colOff>
      <xdr:row>7</xdr:row>
      <xdr:rowOff>66675</xdr:rowOff>
    </xdr:from>
    <xdr:to>
      <xdr:col>7</xdr:col>
      <xdr:colOff>66675</xdr:colOff>
      <xdr:row>20</xdr:row>
      <xdr:rowOff>104775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14400" y="1495425"/>
          <a:ext cx="5610225" cy="3152775"/>
        </a:xfrm>
        <a:custGeom>
          <a:avLst/>
          <a:gdLst>
            <a:gd name="connsiteX0" fmla="*/ 0 w 4943475"/>
            <a:gd name="connsiteY0" fmla="*/ 523885 h 3143250"/>
            <a:gd name="connsiteX1" fmla="*/ 523885 w 4943475"/>
            <a:gd name="connsiteY1" fmla="*/ 0 h 3143250"/>
            <a:gd name="connsiteX2" fmla="*/ 4419590 w 4943475"/>
            <a:gd name="connsiteY2" fmla="*/ 0 h 3143250"/>
            <a:gd name="connsiteX3" fmla="*/ 4943475 w 4943475"/>
            <a:gd name="connsiteY3" fmla="*/ 523885 h 3143250"/>
            <a:gd name="connsiteX4" fmla="*/ 4943475 w 4943475"/>
            <a:gd name="connsiteY4" fmla="*/ 2619365 h 3143250"/>
            <a:gd name="connsiteX5" fmla="*/ 4419590 w 4943475"/>
            <a:gd name="connsiteY5" fmla="*/ 3143250 h 3143250"/>
            <a:gd name="connsiteX6" fmla="*/ 523885 w 4943475"/>
            <a:gd name="connsiteY6" fmla="*/ 3143250 h 3143250"/>
            <a:gd name="connsiteX7" fmla="*/ 0 w 4943475"/>
            <a:gd name="connsiteY7" fmla="*/ 2619365 h 3143250"/>
            <a:gd name="connsiteX8" fmla="*/ 0 w 4943475"/>
            <a:gd name="connsiteY8" fmla="*/ 523885 h 3143250"/>
            <a:gd name="connsiteX0" fmla="*/ 0 w 4943475"/>
            <a:gd name="connsiteY0" fmla="*/ 523885 h 3143250"/>
            <a:gd name="connsiteX1" fmla="*/ 523885 w 4943475"/>
            <a:gd name="connsiteY1" fmla="*/ 0 h 3143250"/>
            <a:gd name="connsiteX2" fmla="*/ 4419590 w 4943475"/>
            <a:gd name="connsiteY2" fmla="*/ 0 h 3143250"/>
            <a:gd name="connsiteX3" fmla="*/ 4781550 w 4943475"/>
            <a:gd name="connsiteY3" fmla="*/ 1076335 h 3143250"/>
            <a:gd name="connsiteX4" fmla="*/ 4943475 w 4943475"/>
            <a:gd name="connsiteY4" fmla="*/ 2619365 h 3143250"/>
            <a:gd name="connsiteX5" fmla="*/ 4419590 w 4943475"/>
            <a:gd name="connsiteY5" fmla="*/ 3143250 h 3143250"/>
            <a:gd name="connsiteX6" fmla="*/ 523885 w 4943475"/>
            <a:gd name="connsiteY6" fmla="*/ 3143250 h 3143250"/>
            <a:gd name="connsiteX7" fmla="*/ 0 w 4943475"/>
            <a:gd name="connsiteY7" fmla="*/ 2619365 h 3143250"/>
            <a:gd name="connsiteX8" fmla="*/ 0 w 4943475"/>
            <a:gd name="connsiteY8" fmla="*/ 523885 h 3143250"/>
            <a:gd name="connsiteX0" fmla="*/ 0 w 4943475"/>
            <a:gd name="connsiteY0" fmla="*/ 523885 h 3143250"/>
            <a:gd name="connsiteX1" fmla="*/ 523885 w 4943475"/>
            <a:gd name="connsiteY1" fmla="*/ 0 h 3143250"/>
            <a:gd name="connsiteX2" fmla="*/ 4419590 w 4943475"/>
            <a:gd name="connsiteY2" fmla="*/ 0 h 3143250"/>
            <a:gd name="connsiteX3" fmla="*/ 4781550 w 4943475"/>
            <a:gd name="connsiteY3" fmla="*/ 1076335 h 3143250"/>
            <a:gd name="connsiteX4" fmla="*/ 4943475 w 4943475"/>
            <a:gd name="connsiteY4" fmla="*/ 2619365 h 3143250"/>
            <a:gd name="connsiteX5" fmla="*/ 4419590 w 4943475"/>
            <a:gd name="connsiteY5" fmla="*/ 3143250 h 3143250"/>
            <a:gd name="connsiteX6" fmla="*/ 523885 w 4943475"/>
            <a:gd name="connsiteY6" fmla="*/ 3143250 h 3143250"/>
            <a:gd name="connsiteX7" fmla="*/ 200025 w 4943475"/>
            <a:gd name="connsiteY7" fmla="*/ 2143115 h 3143250"/>
            <a:gd name="connsiteX8" fmla="*/ 0 w 4943475"/>
            <a:gd name="connsiteY8" fmla="*/ 523885 h 3143250"/>
            <a:gd name="connsiteX0" fmla="*/ 0 w 4943475"/>
            <a:gd name="connsiteY0" fmla="*/ 523885 h 3143250"/>
            <a:gd name="connsiteX1" fmla="*/ 523885 w 4943475"/>
            <a:gd name="connsiteY1" fmla="*/ 0 h 3143250"/>
            <a:gd name="connsiteX2" fmla="*/ 4419590 w 4943475"/>
            <a:gd name="connsiteY2" fmla="*/ 0 h 3143250"/>
            <a:gd name="connsiteX3" fmla="*/ 4781550 w 4943475"/>
            <a:gd name="connsiteY3" fmla="*/ 1076335 h 3143250"/>
            <a:gd name="connsiteX4" fmla="*/ 4943475 w 4943475"/>
            <a:gd name="connsiteY4" fmla="*/ 2619365 h 3143250"/>
            <a:gd name="connsiteX5" fmla="*/ 4419590 w 4943475"/>
            <a:gd name="connsiteY5" fmla="*/ 3143250 h 3143250"/>
            <a:gd name="connsiteX6" fmla="*/ 523885 w 4943475"/>
            <a:gd name="connsiteY6" fmla="*/ 3143250 h 3143250"/>
            <a:gd name="connsiteX7" fmla="*/ 95250 w 4943475"/>
            <a:gd name="connsiteY7" fmla="*/ 2295515 h 3143250"/>
            <a:gd name="connsiteX8" fmla="*/ 0 w 4943475"/>
            <a:gd name="connsiteY8" fmla="*/ 523885 h 3143250"/>
            <a:gd name="connsiteX0" fmla="*/ 0 w 4943475"/>
            <a:gd name="connsiteY0" fmla="*/ 523885 h 3152775"/>
            <a:gd name="connsiteX1" fmla="*/ 523885 w 4943475"/>
            <a:gd name="connsiteY1" fmla="*/ 0 h 3152775"/>
            <a:gd name="connsiteX2" fmla="*/ 4419590 w 4943475"/>
            <a:gd name="connsiteY2" fmla="*/ 0 h 3152775"/>
            <a:gd name="connsiteX3" fmla="*/ 4781550 w 4943475"/>
            <a:gd name="connsiteY3" fmla="*/ 1076335 h 3152775"/>
            <a:gd name="connsiteX4" fmla="*/ 4943475 w 4943475"/>
            <a:gd name="connsiteY4" fmla="*/ 2619365 h 3152775"/>
            <a:gd name="connsiteX5" fmla="*/ 4276715 w 4943475"/>
            <a:gd name="connsiteY5" fmla="*/ 3152775 h 3152775"/>
            <a:gd name="connsiteX6" fmla="*/ 523885 w 4943475"/>
            <a:gd name="connsiteY6" fmla="*/ 3143250 h 3152775"/>
            <a:gd name="connsiteX7" fmla="*/ 95250 w 4943475"/>
            <a:gd name="connsiteY7" fmla="*/ 2295515 h 3152775"/>
            <a:gd name="connsiteX8" fmla="*/ 0 w 4943475"/>
            <a:gd name="connsiteY8" fmla="*/ 523885 h 3152775"/>
            <a:gd name="connsiteX0" fmla="*/ 0 w 4943475"/>
            <a:gd name="connsiteY0" fmla="*/ 523885 h 3152775"/>
            <a:gd name="connsiteX1" fmla="*/ 523885 w 4943475"/>
            <a:gd name="connsiteY1" fmla="*/ 0 h 3152775"/>
            <a:gd name="connsiteX2" fmla="*/ 4419590 w 4943475"/>
            <a:gd name="connsiteY2" fmla="*/ 0 h 3152775"/>
            <a:gd name="connsiteX3" fmla="*/ 4781550 w 4943475"/>
            <a:gd name="connsiteY3" fmla="*/ 1076335 h 3152775"/>
            <a:gd name="connsiteX4" fmla="*/ 4943475 w 4943475"/>
            <a:gd name="connsiteY4" fmla="*/ 2619365 h 3152775"/>
            <a:gd name="connsiteX5" fmla="*/ 4276715 w 4943475"/>
            <a:gd name="connsiteY5" fmla="*/ 3152775 h 3152775"/>
            <a:gd name="connsiteX6" fmla="*/ 523885 w 4943475"/>
            <a:gd name="connsiteY6" fmla="*/ 3143250 h 3152775"/>
            <a:gd name="connsiteX7" fmla="*/ 95250 w 4943475"/>
            <a:gd name="connsiteY7" fmla="*/ 2295515 h 3152775"/>
            <a:gd name="connsiteX8" fmla="*/ 0 w 4943475"/>
            <a:gd name="connsiteY8" fmla="*/ 523885 h 3152775"/>
            <a:gd name="connsiteX0" fmla="*/ 0 w 4943475"/>
            <a:gd name="connsiteY0" fmla="*/ 523885 h 3152775"/>
            <a:gd name="connsiteX1" fmla="*/ 523885 w 4943475"/>
            <a:gd name="connsiteY1" fmla="*/ 0 h 3152775"/>
            <a:gd name="connsiteX2" fmla="*/ 4419590 w 4943475"/>
            <a:gd name="connsiteY2" fmla="*/ 0 h 3152775"/>
            <a:gd name="connsiteX3" fmla="*/ 4781550 w 4943475"/>
            <a:gd name="connsiteY3" fmla="*/ 1076335 h 3152775"/>
            <a:gd name="connsiteX4" fmla="*/ 4943475 w 4943475"/>
            <a:gd name="connsiteY4" fmla="*/ 2619365 h 3152775"/>
            <a:gd name="connsiteX5" fmla="*/ 4276715 w 4943475"/>
            <a:gd name="connsiteY5" fmla="*/ 3152775 h 3152775"/>
            <a:gd name="connsiteX6" fmla="*/ 523885 w 4943475"/>
            <a:gd name="connsiteY6" fmla="*/ 3143250 h 3152775"/>
            <a:gd name="connsiteX7" fmla="*/ 95250 w 4943475"/>
            <a:gd name="connsiteY7" fmla="*/ 2295515 h 3152775"/>
            <a:gd name="connsiteX8" fmla="*/ 0 w 4943475"/>
            <a:gd name="connsiteY8" fmla="*/ 523885 h 31527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943475" h="3152775">
              <a:moveTo>
                <a:pt x="0" y="523885"/>
              </a:moveTo>
              <a:cubicBezTo>
                <a:pt x="0" y="234551"/>
                <a:pt x="234551" y="0"/>
                <a:pt x="523885" y="0"/>
              </a:cubicBezTo>
              <a:cubicBezTo>
                <a:pt x="1822453" y="0"/>
                <a:pt x="3140072" y="180975"/>
                <a:pt x="4419590" y="0"/>
              </a:cubicBezTo>
              <a:cubicBezTo>
                <a:pt x="4708924" y="0"/>
                <a:pt x="4781550" y="787001"/>
                <a:pt x="4781550" y="1076335"/>
              </a:cubicBezTo>
              <a:cubicBezTo>
                <a:pt x="4781550" y="1774828"/>
                <a:pt x="4943475" y="1920872"/>
                <a:pt x="4943475" y="2619365"/>
              </a:cubicBezTo>
              <a:cubicBezTo>
                <a:pt x="4943475" y="2908699"/>
                <a:pt x="4566049" y="3152775"/>
                <a:pt x="4276715" y="3152775"/>
              </a:cubicBezTo>
              <a:cubicBezTo>
                <a:pt x="3140072" y="2940050"/>
                <a:pt x="1774828" y="3146425"/>
                <a:pt x="523885" y="3143250"/>
              </a:cubicBezTo>
              <a:cubicBezTo>
                <a:pt x="234551" y="3143250"/>
                <a:pt x="95250" y="2584849"/>
                <a:pt x="95250" y="2295515"/>
              </a:cubicBezTo>
              <a:lnTo>
                <a:pt x="0" y="523885"/>
              </a:lnTo>
              <a:close/>
            </a:path>
          </a:pathLst>
        </a:custGeom>
        <a:noFill/>
        <a:ln>
          <a:solidFill>
            <a:schemeClr val="accent6"/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0</xdr:col>
      <xdr:colOff>0</xdr:colOff>
      <xdr:row>0</xdr:row>
      <xdr:rowOff>142875</xdr:rowOff>
    </xdr:from>
    <xdr:to>
      <xdr:col>2</xdr:col>
      <xdr:colOff>809659</xdr:colOff>
      <xdr:row>4</xdr:row>
      <xdr:rowOff>161925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2875"/>
          <a:ext cx="2828959" cy="781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26</xdr:row>
          <xdr:rowOff>133350</xdr:rowOff>
        </xdr:from>
        <xdr:to>
          <xdr:col>3</xdr:col>
          <xdr:colOff>238125</xdr:colOff>
          <xdr:row>27</xdr:row>
          <xdr:rowOff>200025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3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26</xdr:row>
          <xdr:rowOff>133350</xdr:rowOff>
        </xdr:from>
        <xdr:to>
          <xdr:col>4</xdr:col>
          <xdr:colOff>523875</xdr:colOff>
          <xdr:row>27</xdr:row>
          <xdr:rowOff>200025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3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26</xdr:row>
          <xdr:rowOff>133350</xdr:rowOff>
        </xdr:from>
        <xdr:to>
          <xdr:col>5</xdr:col>
          <xdr:colOff>828675</xdr:colOff>
          <xdr:row>27</xdr:row>
          <xdr:rowOff>200025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3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Invoices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26</xdr:row>
          <xdr:rowOff>133350</xdr:rowOff>
        </xdr:from>
        <xdr:to>
          <xdr:col>7</xdr:col>
          <xdr:colOff>171450</xdr:colOff>
          <xdr:row>27</xdr:row>
          <xdr:rowOff>200025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3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Activities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26</xdr:row>
          <xdr:rowOff>123825</xdr:rowOff>
        </xdr:from>
        <xdr:to>
          <xdr:col>10</xdr:col>
          <xdr:colOff>533400</xdr:colOff>
          <xdr:row>27</xdr:row>
          <xdr:rowOff>190500</xdr:rowOff>
        </xdr:to>
        <xdr:sp macro="" textlink="">
          <xdr:nvSpPr>
            <xdr:cNvPr id="11272" name="Button 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3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695325</xdr:colOff>
          <xdr:row>26</xdr:row>
          <xdr:rowOff>114300</xdr:rowOff>
        </xdr:from>
        <xdr:to>
          <xdr:col>10</xdr:col>
          <xdr:colOff>1704975</xdr:colOff>
          <xdr:row>27</xdr:row>
          <xdr:rowOff>180975</xdr:rowOff>
        </xdr:to>
        <xdr:sp macro="" textlink="">
          <xdr:nvSpPr>
            <xdr:cNvPr id="11273" name="Button 9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3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28575</xdr:rowOff>
        </xdr:from>
        <xdr:to>
          <xdr:col>3</xdr:col>
          <xdr:colOff>0</xdr:colOff>
          <xdr:row>9</xdr:row>
          <xdr:rowOff>9525</xdr:rowOff>
        </xdr:to>
        <xdr:sp macro="" textlink="">
          <xdr:nvSpPr>
            <xdr:cNvPr id="11286" name="Drop Dow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3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19050</xdr:rowOff>
        </xdr:from>
        <xdr:to>
          <xdr:col>3</xdr:col>
          <xdr:colOff>19050</xdr:colOff>
          <xdr:row>13</xdr:row>
          <xdr:rowOff>0</xdr:rowOff>
        </xdr:to>
        <xdr:sp macro="" textlink="">
          <xdr:nvSpPr>
            <xdr:cNvPr id="11288" name="Drop Down 24" hidden="1">
              <a:extLst>
                <a:ext uri="{63B3BB69-23CF-44E3-9099-C40C66FF867C}">
                  <a14:compatExt spid="_x0000_s11288"/>
                </a:ext>
                <a:ext uri="{FF2B5EF4-FFF2-40B4-BE49-F238E27FC236}">
                  <a16:creationId xmlns:a16="http://schemas.microsoft.com/office/drawing/2014/main" id="{00000000-0008-0000-0300-00001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76200</xdr:rowOff>
    </xdr:from>
    <xdr:to>
      <xdr:col>3</xdr:col>
      <xdr:colOff>443525</xdr:colOff>
      <xdr:row>4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76200"/>
          <a:ext cx="2824775" cy="781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5</xdr:row>
          <xdr:rowOff>47625</xdr:rowOff>
        </xdr:from>
        <xdr:to>
          <xdr:col>9</xdr:col>
          <xdr:colOff>552450</xdr:colOff>
          <xdr:row>6</xdr:row>
          <xdr:rowOff>161925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57150</xdr:colOff>
      <xdr:row>0</xdr:row>
      <xdr:rowOff>85725</xdr:rowOff>
    </xdr:from>
    <xdr:to>
      <xdr:col>3</xdr:col>
      <xdr:colOff>443525</xdr:colOff>
      <xdr:row>4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85725"/>
          <a:ext cx="2824775" cy="7810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57150</xdr:rowOff>
    </xdr:from>
    <xdr:to>
      <xdr:col>3</xdr:col>
      <xdr:colOff>183730</xdr:colOff>
      <xdr:row>4</xdr:row>
      <xdr:rowOff>76200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7150"/>
          <a:ext cx="2828959" cy="781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5</xdr:row>
          <xdr:rowOff>38100</xdr:rowOff>
        </xdr:from>
        <xdr:to>
          <xdr:col>11</xdr:col>
          <xdr:colOff>381000</xdr:colOff>
          <xdr:row>6</xdr:row>
          <xdr:rowOff>152400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5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923925</xdr:colOff>
          <xdr:row>5</xdr:row>
          <xdr:rowOff>38100</xdr:rowOff>
        </xdr:from>
        <xdr:to>
          <xdr:col>12</xdr:col>
          <xdr:colOff>1809750</xdr:colOff>
          <xdr:row>6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5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5</xdr:row>
          <xdr:rowOff>47625</xdr:rowOff>
        </xdr:from>
        <xdr:to>
          <xdr:col>11</xdr:col>
          <xdr:colOff>1209675</xdr:colOff>
          <xdr:row>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5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Wages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1031395</xdr:colOff>
      <xdr:row>0</xdr:row>
      <xdr:rowOff>75661</xdr:rowOff>
    </xdr:from>
    <xdr:to>
      <xdr:col>3</xdr:col>
      <xdr:colOff>758432</xdr:colOff>
      <xdr:row>4</xdr:row>
      <xdr:rowOff>94711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395" y="75661"/>
          <a:ext cx="2824646" cy="781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1323975</xdr:colOff>
          <xdr:row>29</xdr:row>
          <xdr:rowOff>19050</xdr:rowOff>
        </xdr:from>
        <xdr:to>
          <xdr:col>10</xdr:col>
          <xdr:colOff>323850</xdr:colOff>
          <xdr:row>30</xdr:row>
          <xdr:rowOff>152400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29</xdr:row>
          <xdr:rowOff>19050</xdr:rowOff>
        </xdr:from>
        <xdr:to>
          <xdr:col>2</xdr:col>
          <xdr:colOff>9525</xdr:colOff>
          <xdr:row>30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1133475</xdr:colOff>
          <xdr:row>17</xdr:row>
          <xdr:rowOff>0</xdr:rowOff>
        </xdr:from>
        <xdr:to>
          <xdr:col>4</xdr:col>
          <xdr:colOff>876300</xdr:colOff>
          <xdr:row>18</xdr:row>
          <xdr:rowOff>9525</xdr:rowOff>
        </xdr:to>
        <xdr:sp macro="" textlink="">
          <xdr:nvSpPr>
            <xdr:cNvPr id="13320" name="Drop Dow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6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476250</xdr:colOff>
          <xdr:row>29</xdr:row>
          <xdr:rowOff>19050</xdr:rowOff>
        </xdr:from>
        <xdr:to>
          <xdr:col>10</xdr:col>
          <xdr:colOff>1381125</xdr:colOff>
          <xdr:row>30</xdr:row>
          <xdr:rowOff>152400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00000000-0008-0000-0600-00000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29</xdr:row>
          <xdr:rowOff>28575</xdr:rowOff>
        </xdr:from>
        <xdr:to>
          <xdr:col>3</xdr:col>
          <xdr:colOff>171450</xdr:colOff>
          <xdr:row>30</xdr:row>
          <xdr:rowOff>161925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00000000-0008-0000-0600-00000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Staff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29</xdr:row>
          <xdr:rowOff>28575</xdr:rowOff>
        </xdr:from>
        <xdr:to>
          <xdr:col>4</xdr:col>
          <xdr:colOff>0</xdr:colOff>
          <xdr:row>30</xdr:row>
          <xdr:rowOff>161925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00000000-0008-0000-0600-00000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WagesPivot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902891</xdr:colOff>
      <xdr:row>7</xdr:row>
      <xdr:rowOff>69452</xdr:rowOff>
    </xdr:from>
    <xdr:to>
      <xdr:col>5</xdr:col>
      <xdr:colOff>337344</xdr:colOff>
      <xdr:row>22</xdr:row>
      <xdr:rowOff>9920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902891" y="1389061"/>
          <a:ext cx="4633516" cy="2768203"/>
        </a:xfrm>
        <a:custGeom>
          <a:avLst/>
          <a:gdLst>
            <a:gd name="connsiteX0" fmla="*/ 0 w 4943475"/>
            <a:gd name="connsiteY0" fmla="*/ 523885 h 3143250"/>
            <a:gd name="connsiteX1" fmla="*/ 523885 w 4943475"/>
            <a:gd name="connsiteY1" fmla="*/ 0 h 3143250"/>
            <a:gd name="connsiteX2" fmla="*/ 4419590 w 4943475"/>
            <a:gd name="connsiteY2" fmla="*/ 0 h 3143250"/>
            <a:gd name="connsiteX3" fmla="*/ 4943475 w 4943475"/>
            <a:gd name="connsiteY3" fmla="*/ 523885 h 3143250"/>
            <a:gd name="connsiteX4" fmla="*/ 4943475 w 4943475"/>
            <a:gd name="connsiteY4" fmla="*/ 2619365 h 3143250"/>
            <a:gd name="connsiteX5" fmla="*/ 4419590 w 4943475"/>
            <a:gd name="connsiteY5" fmla="*/ 3143250 h 3143250"/>
            <a:gd name="connsiteX6" fmla="*/ 523885 w 4943475"/>
            <a:gd name="connsiteY6" fmla="*/ 3143250 h 3143250"/>
            <a:gd name="connsiteX7" fmla="*/ 0 w 4943475"/>
            <a:gd name="connsiteY7" fmla="*/ 2619365 h 3143250"/>
            <a:gd name="connsiteX8" fmla="*/ 0 w 4943475"/>
            <a:gd name="connsiteY8" fmla="*/ 523885 h 3143250"/>
            <a:gd name="connsiteX0" fmla="*/ 0 w 4943475"/>
            <a:gd name="connsiteY0" fmla="*/ 523885 h 3143250"/>
            <a:gd name="connsiteX1" fmla="*/ 523885 w 4943475"/>
            <a:gd name="connsiteY1" fmla="*/ 0 h 3143250"/>
            <a:gd name="connsiteX2" fmla="*/ 4419590 w 4943475"/>
            <a:gd name="connsiteY2" fmla="*/ 0 h 3143250"/>
            <a:gd name="connsiteX3" fmla="*/ 4781550 w 4943475"/>
            <a:gd name="connsiteY3" fmla="*/ 1076335 h 3143250"/>
            <a:gd name="connsiteX4" fmla="*/ 4943475 w 4943475"/>
            <a:gd name="connsiteY4" fmla="*/ 2619365 h 3143250"/>
            <a:gd name="connsiteX5" fmla="*/ 4419590 w 4943475"/>
            <a:gd name="connsiteY5" fmla="*/ 3143250 h 3143250"/>
            <a:gd name="connsiteX6" fmla="*/ 523885 w 4943475"/>
            <a:gd name="connsiteY6" fmla="*/ 3143250 h 3143250"/>
            <a:gd name="connsiteX7" fmla="*/ 0 w 4943475"/>
            <a:gd name="connsiteY7" fmla="*/ 2619365 h 3143250"/>
            <a:gd name="connsiteX8" fmla="*/ 0 w 4943475"/>
            <a:gd name="connsiteY8" fmla="*/ 523885 h 3143250"/>
            <a:gd name="connsiteX0" fmla="*/ 0 w 4943475"/>
            <a:gd name="connsiteY0" fmla="*/ 523885 h 3143250"/>
            <a:gd name="connsiteX1" fmla="*/ 523885 w 4943475"/>
            <a:gd name="connsiteY1" fmla="*/ 0 h 3143250"/>
            <a:gd name="connsiteX2" fmla="*/ 4419590 w 4943475"/>
            <a:gd name="connsiteY2" fmla="*/ 0 h 3143250"/>
            <a:gd name="connsiteX3" fmla="*/ 4781550 w 4943475"/>
            <a:gd name="connsiteY3" fmla="*/ 1076335 h 3143250"/>
            <a:gd name="connsiteX4" fmla="*/ 4943475 w 4943475"/>
            <a:gd name="connsiteY4" fmla="*/ 2619365 h 3143250"/>
            <a:gd name="connsiteX5" fmla="*/ 4419590 w 4943475"/>
            <a:gd name="connsiteY5" fmla="*/ 3143250 h 3143250"/>
            <a:gd name="connsiteX6" fmla="*/ 523885 w 4943475"/>
            <a:gd name="connsiteY6" fmla="*/ 3143250 h 3143250"/>
            <a:gd name="connsiteX7" fmla="*/ 200025 w 4943475"/>
            <a:gd name="connsiteY7" fmla="*/ 2143115 h 3143250"/>
            <a:gd name="connsiteX8" fmla="*/ 0 w 4943475"/>
            <a:gd name="connsiteY8" fmla="*/ 523885 h 3143250"/>
            <a:gd name="connsiteX0" fmla="*/ 0 w 4943475"/>
            <a:gd name="connsiteY0" fmla="*/ 523885 h 3143250"/>
            <a:gd name="connsiteX1" fmla="*/ 523885 w 4943475"/>
            <a:gd name="connsiteY1" fmla="*/ 0 h 3143250"/>
            <a:gd name="connsiteX2" fmla="*/ 4419590 w 4943475"/>
            <a:gd name="connsiteY2" fmla="*/ 0 h 3143250"/>
            <a:gd name="connsiteX3" fmla="*/ 4781550 w 4943475"/>
            <a:gd name="connsiteY3" fmla="*/ 1076335 h 3143250"/>
            <a:gd name="connsiteX4" fmla="*/ 4943475 w 4943475"/>
            <a:gd name="connsiteY4" fmla="*/ 2619365 h 3143250"/>
            <a:gd name="connsiteX5" fmla="*/ 4419590 w 4943475"/>
            <a:gd name="connsiteY5" fmla="*/ 3143250 h 3143250"/>
            <a:gd name="connsiteX6" fmla="*/ 523885 w 4943475"/>
            <a:gd name="connsiteY6" fmla="*/ 3143250 h 3143250"/>
            <a:gd name="connsiteX7" fmla="*/ 95250 w 4943475"/>
            <a:gd name="connsiteY7" fmla="*/ 2295515 h 3143250"/>
            <a:gd name="connsiteX8" fmla="*/ 0 w 4943475"/>
            <a:gd name="connsiteY8" fmla="*/ 523885 h 3143250"/>
            <a:gd name="connsiteX0" fmla="*/ 0 w 4943475"/>
            <a:gd name="connsiteY0" fmla="*/ 523885 h 3152775"/>
            <a:gd name="connsiteX1" fmla="*/ 523885 w 4943475"/>
            <a:gd name="connsiteY1" fmla="*/ 0 h 3152775"/>
            <a:gd name="connsiteX2" fmla="*/ 4419590 w 4943475"/>
            <a:gd name="connsiteY2" fmla="*/ 0 h 3152775"/>
            <a:gd name="connsiteX3" fmla="*/ 4781550 w 4943475"/>
            <a:gd name="connsiteY3" fmla="*/ 1076335 h 3152775"/>
            <a:gd name="connsiteX4" fmla="*/ 4943475 w 4943475"/>
            <a:gd name="connsiteY4" fmla="*/ 2619365 h 3152775"/>
            <a:gd name="connsiteX5" fmla="*/ 4276715 w 4943475"/>
            <a:gd name="connsiteY5" fmla="*/ 3152775 h 3152775"/>
            <a:gd name="connsiteX6" fmla="*/ 523885 w 4943475"/>
            <a:gd name="connsiteY6" fmla="*/ 3143250 h 3152775"/>
            <a:gd name="connsiteX7" fmla="*/ 95250 w 4943475"/>
            <a:gd name="connsiteY7" fmla="*/ 2295515 h 3152775"/>
            <a:gd name="connsiteX8" fmla="*/ 0 w 4943475"/>
            <a:gd name="connsiteY8" fmla="*/ 523885 h 3152775"/>
            <a:gd name="connsiteX0" fmla="*/ 0 w 4943475"/>
            <a:gd name="connsiteY0" fmla="*/ 523885 h 3152775"/>
            <a:gd name="connsiteX1" fmla="*/ 523885 w 4943475"/>
            <a:gd name="connsiteY1" fmla="*/ 0 h 3152775"/>
            <a:gd name="connsiteX2" fmla="*/ 4419590 w 4943475"/>
            <a:gd name="connsiteY2" fmla="*/ 0 h 3152775"/>
            <a:gd name="connsiteX3" fmla="*/ 4781550 w 4943475"/>
            <a:gd name="connsiteY3" fmla="*/ 1076335 h 3152775"/>
            <a:gd name="connsiteX4" fmla="*/ 4943475 w 4943475"/>
            <a:gd name="connsiteY4" fmla="*/ 2619365 h 3152775"/>
            <a:gd name="connsiteX5" fmla="*/ 4276715 w 4943475"/>
            <a:gd name="connsiteY5" fmla="*/ 3152775 h 3152775"/>
            <a:gd name="connsiteX6" fmla="*/ 523885 w 4943475"/>
            <a:gd name="connsiteY6" fmla="*/ 3143250 h 3152775"/>
            <a:gd name="connsiteX7" fmla="*/ 95250 w 4943475"/>
            <a:gd name="connsiteY7" fmla="*/ 2295515 h 3152775"/>
            <a:gd name="connsiteX8" fmla="*/ 0 w 4943475"/>
            <a:gd name="connsiteY8" fmla="*/ 523885 h 3152775"/>
            <a:gd name="connsiteX0" fmla="*/ 0 w 4943475"/>
            <a:gd name="connsiteY0" fmla="*/ 523885 h 3152775"/>
            <a:gd name="connsiteX1" fmla="*/ 523885 w 4943475"/>
            <a:gd name="connsiteY1" fmla="*/ 0 h 3152775"/>
            <a:gd name="connsiteX2" fmla="*/ 4419590 w 4943475"/>
            <a:gd name="connsiteY2" fmla="*/ 0 h 3152775"/>
            <a:gd name="connsiteX3" fmla="*/ 4781550 w 4943475"/>
            <a:gd name="connsiteY3" fmla="*/ 1076335 h 3152775"/>
            <a:gd name="connsiteX4" fmla="*/ 4943475 w 4943475"/>
            <a:gd name="connsiteY4" fmla="*/ 2619365 h 3152775"/>
            <a:gd name="connsiteX5" fmla="*/ 4276715 w 4943475"/>
            <a:gd name="connsiteY5" fmla="*/ 3152775 h 3152775"/>
            <a:gd name="connsiteX6" fmla="*/ 523885 w 4943475"/>
            <a:gd name="connsiteY6" fmla="*/ 3143250 h 3152775"/>
            <a:gd name="connsiteX7" fmla="*/ 95250 w 4943475"/>
            <a:gd name="connsiteY7" fmla="*/ 2295515 h 3152775"/>
            <a:gd name="connsiteX8" fmla="*/ 0 w 4943475"/>
            <a:gd name="connsiteY8" fmla="*/ 523885 h 31527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4943475" h="3152775">
              <a:moveTo>
                <a:pt x="0" y="523885"/>
              </a:moveTo>
              <a:cubicBezTo>
                <a:pt x="0" y="234551"/>
                <a:pt x="234551" y="0"/>
                <a:pt x="523885" y="0"/>
              </a:cubicBezTo>
              <a:cubicBezTo>
                <a:pt x="1822453" y="0"/>
                <a:pt x="3140072" y="180975"/>
                <a:pt x="4419590" y="0"/>
              </a:cubicBezTo>
              <a:cubicBezTo>
                <a:pt x="4708924" y="0"/>
                <a:pt x="4781550" y="787001"/>
                <a:pt x="4781550" y="1076335"/>
              </a:cubicBezTo>
              <a:cubicBezTo>
                <a:pt x="4781550" y="1774828"/>
                <a:pt x="4943475" y="1920872"/>
                <a:pt x="4943475" y="2619365"/>
              </a:cubicBezTo>
              <a:cubicBezTo>
                <a:pt x="4943475" y="2908699"/>
                <a:pt x="4566049" y="3152775"/>
                <a:pt x="4276715" y="3152775"/>
              </a:cubicBezTo>
              <a:cubicBezTo>
                <a:pt x="3140072" y="2940050"/>
                <a:pt x="1774828" y="3146425"/>
                <a:pt x="523885" y="3143250"/>
              </a:cubicBezTo>
              <a:cubicBezTo>
                <a:pt x="234551" y="3143250"/>
                <a:pt x="95250" y="2584849"/>
                <a:pt x="95250" y="2295515"/>
              </a:cubicBezTo>
              <a:lnTo>
                <a:pt x="0" y="523885"/>
              </a:lnTo>
              <a:close/>
            </a:path>
          </a:pathLst>
        </a:custGeom>
        <a:noFill/>
        <a:ln>
          <a:solidFill>
            <a:schemeClr val="accent6"/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123825</xdr:rowOff>
    </xdr:from>
    <xdr:to>
      <xdr:col>2</xdr:col>
      <xdr:colOff>1176821</xdr:colOff>
      <xdr:row>4</xdr:row>
      <xdr:rowOff>142875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23825"/>
          <a:ext cx="2824646" cy="781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</xdr:row>
          <xdr:rowOff>57150</xdr:rowOff>
        </xdr:from>
        <xdr:to>
          <xdr:col>1</xdr:col>
          <xdr:colOff>38100</xdr:colOff>
          <xdr:row>6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5</xdr:row>
          <xdr:rowOff>66675</xdr:rowOff>
        </xdr:from>
        <xdr:to>
          <xdr:col>1</xdr:col>
          <xdr:colOff>904875</xdr:colOff>
          <xdr:row>6</xdr:row>
          <xdr:rowOff>161925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7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Staff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0</xdr:row>
      <xdr:rowOff>133350</xdr:rowOff>
    </xdr:from>
    <xdr:to>
      <xdr:col>4</xdr:col>
      <xdr:colOff>214796</xdr:colOff>
      <xdr:row>4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33350"/>
          <a:ext cx="2824646" cy="7810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5</xdr:row>
          <xdr:rowOff>76200</xdr:rowOff>
        </xdr:from>
        <xdr:to>
          <xdr:col>15</xdr:col>
          <xdr:colOff>504825</xdr:colOff>
          <xdr:row>6</xdr:row>
          <xdr:rowOff>133350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42861</xdr:colOff>
      <xdr:row>27</xdr:row>
      <xdr:rowOff>166686</xdr:rowOff>
    </xdr:from>
    <xdr:to>
      <xdr:col>11</xdr:col>
      <xdr:colOff>371474</xdr:colOff>
      <xdr:row>50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33337</xdr:colOff>
      <xdr:row>51</xdr:row>
      <xdr:rowOff>80961</xdr:rowOff>
    </xdr:from>
    <xdr:to>
      <xdr:col>11</xdr:col>
      <xdr:colOff>361950</xdr:colOff>
      <xdr:row>73</xdr:row>
      <xdr:rowOff>142874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52386</xdr:colOff>
      <xdr:row>75</xdr:row>
      <xdr:rowOff>128587</xdr:rowOff>
    </xdr:from>
    <xdr:to>
      <xdr:col>11</xdr:col>
      <xdr:colOff>380999</xdr:colOff>
      <xdr:row>100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irreza Khosravi" refreshedDate="45341.828830555554" createdVersion="8" refreshedVersion="8" minRefreshableVersion="3" recordCount="16" xr:uid="{90EB9D6F-0759-47F7-BA0F-4FB22CA16072}">
  <cacheSource type="worksheet">
    <worksheetSource ref="B33:K49" sheet="Wages"/>
  </cacheSource>
  <cacheFields count="10">
    <cacheField name="Staff ID" numFmtId="0">
      <sharedItems containsString="0" containsBlank="1" containsNumber="1" containsInteger="1" minValue="1" maxValue="9"/>
    </cacheField>
    <cacheField name="Title" numFmtId="0">
      <sharedItems containsBlank="1"/>
    </cacheField>
    <cacheField name="Firstname" numFmtId="0">
      <sharedItems containsBlank="1"/>
    </cacheField>
    <cacheField name="last name" numFmtId="0">
      <sharedItems containsBlank="1"/>
    </cacheField>
    <cacheField name="Role" numFmtId="0">
      <sharedItems containsBlank="1" count="6">
        <s v="Receptionist"/>
        <s v="Manager"/>
        <s v="Instructor"/>
        <m/>
        <s v="Cleaner" u="1"/>
        <s v="Caretaker" u="1"/>
      </sharedItems>
    </cacheField>
    <cacheField name="Hourly rate" numFmtId="44">
      <sharedItems containsString="0" containsBlank="1" containsNumber="1" containsInteger="1" minValue="11" maxValue="20"/>
    </cacheField>
    <cacheField name="Weekly Hours" numFmtId="0">
      <sharedItems containsString="0" containsBlank="1" containsNumber="1" containsInteger="1" minValue="5" maxValue="25"/>
    </cacheField>
    <cacheField name="Overtime Rate" numFmtId="0">
      <sharedItems containsString="0" containsBlank="1" containsNumber="1" minValue="1.2" maxValue="1.8"/>
    </cacheField>
    <cacheField name="Starting week date" numFmtId="14">
      <sharedItems containsNonDate="0" containsDate="1" containsString="0" containsBlank="1" minDate="2024-02-05T00:00:00" maxDate="2024-03-05T00:00:00"/>
    </cacheField>
    <cacheField name="Total weekly wage" numFmtId="44">
      <sharedItems containsString="0" containsBlank="1" containsNumber="1" containsInteger="1" minValue="100" maxValue="2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n v="1"/>
    <s v="Miss"/>
    <s v="Aleshia"/>
    <s v="Tomkiewicz"/>
    <x v="0"/>
    <n v="11"/>
    <n v="25"/>
    <n v="1.2"/>
    <d v="2024-02-26T00:00:00"/>
    <n v="275"/>
  </r>
  <r>
    <n v="2"/>
    <s v="Mr"/>
    <s v="Evan"/>
    <s v="Zigomalas"/>
    <x v="0"/>
    <n v="11"/>
    <n v="25"/>
    <n v="1.2"/>
    <d v="2024-02-26T00:00:00"/>
    <n v="275"/>
  </r>
  <r>
    <n v="9"/>
    <s v="Mr"/>
    <s v="Lura"/>
    <s v="Manzella"/>
    <x v="1"/>
    <n v="20"/>
    <n v="5"/>
    <n v="1.8"/>
    <d v="2024-02-05T00:00:00"/>
    <n v="100"/>
  </r>
  <r>
    <n v="6"/>
    <s v="Miss"/>
    <s v="Eric"/>
    <s v="Rampy"/>
    <x v="2"/>
    <n v="16"/>
    <n v="10"/>
    <n v="1.5"/>
    <d v="2024-02-05T00:00:00"/>
    <n v="160"/>
  </r>
  <r>
    <n v="6"/>
    <s v="Miss"/>
    <s v="Eric"/>
    <s v="Rampy"/>
    <x v="2"/>
    <n v="16"/>
    <n v="10"/>
    <n v="1.5"/>
    <d v="2024-03-04T00:00:00"/>
    <n v="160"/>
  </r>
  <r>
    <m/>
    <m/>
    <m/>
    <m/>
    <x v="3"/>
    <m/>
    <m/>
    <m/>
    <m/>
    <m/>
  </r>
  <r>
    <m/>
    <m/>
    <m/>
    <m/>
    <x v="3"/>
    <m/>
    <m/>
    <m/>
    <m/>
    <m/>
  </r>
  <r>
    <m/>
    <m/>
    <m/>
    <m/>
    <x v="3"/>
    <m/>
    <m/>
    <m/>
    <m/>
    <m/>
  </r>
  <r>
    <m/>
    <m/>
    <m/>
    <m/>
    <x v="3"/>
    <m/>
    <m/>
    <m/>
    <m/>
    <m/>
  </r>
  <r>
    <m/>
    <m/>
    <m/>
    <m/>
    <x v="3"/>
    <m/>
    <m/>
    <m/>
    <m/>
    <m/>
  </r>
  <r>
    <m/>
    <m/>
    <m/>
    <m/>
    <x v="3"/>
    <m/>
    <m/>
    <m/>
    <m/>
    <m/>
  </r>
  <r>
    <m/>
    <m/>
    <m/>
    <m/>
    <x v="3"/>
    <m/>
    <m/>
    <m/>
    <m/>
    <m/>
  </r>
  <r>
    <m/>
    <m/>
    <m/>
    <m/>
    <x v="3"/>
    <m/>
    <m/>
    <m/>
    <m/>
    <m/>
  </r>
  <r>
    <m/>
    <m/>
    <m/>
    <m/>
    <x v="3"/>
    <m/>
    <m/>
    <m/>
    <m/>
    <m/>
  </r>
  <r>
    <m/>
    <m/>
    <m/>
    <m/>
    <x v="3"/>
    <m/>
    <m/>
    <m/>
    <m/>
    <m/>
  </r>
  <r>
    <m/>
    <m/>
    <m/>
    <m/>
    <x v="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EA6227-3AEA-40C0-9C75-5A61949CA8A7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B8:C13" firstHeaderRow="1" firstDataRow="1" firstDataCol="1"/>
  <pivotFields count="10">
    <pivotField showAll="0"/>
    <pivotField showAll="0"/>
    <pivotField showAll="0"/>
    <pivotField showAll="0"/>
    <pivotField axis="axisRow" showAll="0">
      <items count="7">
        <item m="1" x="5"/>
        <item m="1" x="4"/>
        <item x="2"/>
        <item x="1"/>
        <item x="0"/>
        <item x="3"/>
        <item t="default"/>
      </items>
    </pivotField>
    <pivotField showAll="0"/>
    <pivotField showAll="0"/>
    <pivotField showAll="0"/>
    <pivotField numFmtId="14" showAll="0"/>
    <pivotField dataField="1" numFmtId="44" showAll="0"/>
  </pivotFields>
  <rowFields count="1">
    <field x="4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Total weekly wage" fld="9" baseField="0" baseItem="0"/>
  </dataFields>
  <formats count="1">
    <format dxfId="2">
      <pivotArea field="4" type="button" dataOnly="0" labelOnly="1" outline="0" axis="axisRow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>
        <a:ln>
          <a:solidFill>
            <a:schemeClr val="bg2">
              <a:lumMod val="75000"/>
            </a:schemeClr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BA111-9E2F-485A-BBAE-AC1B6BAD007A}">
  <sheetPr codeName="Sheet1"/>
  <dimension ref="E6:P27"/>
  <sheetViews>
    <sheetView zoomScaleNormal="100" workbookViewId="0">
      <selection activeCell="Q70" sqref="Q70"/>
    </sheetView>
  </sheetViews>
  <sheetFormatPr defaultRowHeight="15" x14ac:dyDescent="0.25"/>
  <cols>
    <col min="1" max="5" width="9.140625" style="14"/>
    <col min="6" max="6" width="15.85546875" style="14" bestFit="1" customWidth="1"/>
    <col min="7" max="7" width="9.140625" style="14"/>
    <col min="8" max="8" width="11" style="14" customWidth="1"/>
    <col min="9" max="16384" width="9.140625" style="14"/>
  </cols>
  <sheetData>
    <row r="6" spans="5:16" x14ac:dyDescent="0.25">
      <c r="E6" s="232" t="s">
        <v>0</v>
      </c>
      <c r="F6" s="233"/>
      <c r="G6" s="233"/>
      <c r="H6" s="233"/>
      <c r="I6" s="233"/>
      <c r="J6" s="233"/>
      <c r="K6" s="233"/>
      <c r="L6" s="233"/>
      <c r="M6" s="233"/>
      <c r="N6" s="233"/>
      <c r="O6" s="233"/>
      <c r="P6" s="233"/>
    </row>
    <row r="7" spans="5:16" x14ac:dyDescent="0.25">
      <c r="E7" s="233"/>
      <c r="F7" s="233"/>
      <c r="G7" s="233"/>
      <c r="H7" s="233"/>
      <c r="I7" s="233"/>
      <c r="J7" s="233"/>
      <c r="K7" s="233"/>
      <c r="L7" s="233"/>
      <c r="M7" s="233"/>
      <c r="N7" s="233"/>
      <c r="O7" s="233"/>
      <c r="P7" s="233"/>
    </row>
    <row r="8" spans="5:16" x14ac:dyDescent="0.25">
      <c r="E8" s="233"/>
      <c r="F8" s="233"/>
      <c r="G8" s="233"/>
      <c r="H8" s="233"/>
      <c r="I8" s="233"/>
      <c r="J8" s="233"/>
      <c r="K8" s="233"/>
      <c r="L8" s="233"/>
      <c r="M8" s="233"/>
      <c r="N8" s="233"/>
      <c r="O8" s="233"/>
      <c r="P8" s="233"/>
    </row>
    <row r="9" spans="5:16" x14ac:dyDescent="0.25">
      <c r="E9" s="233"/>
      <c r="F9" s="233"/>
      <c r="G9" s="233"/>
      <c r="H9" s="233"/>
      <c r="I9" s="233"/>
      <c r="J9" s="233"/>
      <c r="K9" s="233"/>
      <c r="L9" s="233"/>
      <c r="M9" s="233"/>
      <c r="N9" s="233"/>
      <c r="O9" s="233"/>
      <c r="P9" s="233"/>
    </row>
    <row r="10" spans="5:16" x14ac:dyDescent="0.25">
      <c r="E10" s="233"/>
      <c r="F10" s="233"/>
      <c r="G10" s="233"/>
      <c r="H10" s="233"/>
      <c r="I10" s="233"/>
      <c r="J10" s="233"/>
      <c r="K10" s="233"/>
      <c r="L10" s="233"/>
      <c r="M10" s="233"/>
      <c r="N10" s="233"/>
      <c r="O10" s="233"/>
      <c r="P10" s="233"/>
    </row>
    <row r="11" spans="5:16" x14ac:dyDescent="0.25"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</row>
    <row r="12" spans="5:16" x14ac:dyDescent="0.25">
      <c r="E12" s="233"/>
      <c r="F12" s="233"/>
      <c r="G12" s="233"/>
      <c r="H12" s="233"/>
      <c r="I12" s="233"/>
      <c r="J12" s="233"/>
      <c r="K12" s="233"/>
      <c r="L12" s="233"/>
      <c r="M12" s="233"/>
      <c r="N12" s="233"/>
      <c r="O12" s="233"/>
      <c r="P12" s="233"/>
    </row>
    <row r="19" spans="5:7" x14ac:dyDescent="0.25">
      <c r="E19" s="28" t="str">
        <f ca="1">TEXT(F19,"dddd")</f>
        <v>Monday</v>
      </c>
      <c r="F19" s="29">
        <f ca="1">TODAY()</f>
        <v>45355</v>
      </c>
      <c r="G19" s="14" t="s">
        <v>1</v>
      </c>
    </row>
    <row r="27" spans="5:7" x14ac:dyDescent="0.25">
      <c r="F27" s="14" t="s">
        <v>2</v>
      </c>
    </row>
  </sheetData>
  <sheetProtection algorithmName="SHA-512" hashValue="AyzV60KglNdh/eSrUytCLVjGz/yirt5pxq375anYz7hBUqyyOkYsOFeS7QklqHphj1pSh6AYCpKeArsOe/dV+Q==" saltValue="1cSdaA2q9M32PkLkI/4pKw==" spinCount="100000" sheet="1" objects="1" scenarios="1"/>
  <mergeCells count="1">
    <mergeCell ref="E6:P1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BCC26-CFE7-4968-8F70-EEB906BA1699}">
  <sheetPr codeName="Sheet2">
    <tabColor rgb="FF67A97B"/>
  </sheetPr>
  <dimension ref="A1:AD64"/>
  <sheetViews>
    <sheetView zoomScaleNormal="100" workbookViewId="0">
      <selection activeCell="C13" sqref="C13"/>
    </sheetView>
  </sheetViews>
  <sheetFormatPr defaultRowHeight="15" x14ac:dyDescent="0.25"/>
  <cols>
    <col min="1" max="1" width="7.140625" style="119" customWidth="1"/>
    <col min="2" max="2" width="17.140625" style="119" customWidth="1"/>
    <col min="3" max="3" width="12.140625" style="119" customWidth="1"/>
    <col min="4" max="4" width="13.140625" style="119" customWidth="1"/>
    <col min="5" max="5" width="18.42578125" style="119" customWidth="1"/>
    <col min="6" max="6" width="12.140625" style="119" customWidth="1"/>
    <col min="7" max="7" width="11.7109375" style="119" customWidth="1"/>
    <col min="8" max="8" width="18.28515625" style="119" customWidth="1"/>
    <col min="9" max="9" width="15.5703125" style="119" customWidth="1"/>
    <col min="10" max="10" width="16.140625" style="119" customWidth="1"/>
    <col min="11" max="11" width="14.28515625" style="119" customWidth="1"/>
    <col min="12" max="12" width="14.85546875" style="119" customWidth="1"/>
    <col min="13" max="13" width="12.7109375" style="119" customWidth="1"/>
    <col min="14" max="14" width="12.42578125" style="119" customWidth="1"/>
    <col min="15" max="15" width="13.140625" style="119" customWidth="1"/>
    <col min="16" max="16" width="11.5703125" style="119" customWidth="1"/>
    <col min="17" max="18" width="12" style="119" customWidth="1"/>
    <col min="19" max="20" width="9.140625" style="119"/>
    <col min="21" max="21" width="10.7109375" style="119" bestFit="1" customWidth="1"/>
    <col min="22" max="22" width="10.42578125" style="119" customWidth="1"/>
    <col min="23" max="16384" width="9.140625" style="119"/>
  </cols>
  <sheetData>
    <row r="1" spans="1:30" x14ac:dyDescent="0.25">
      <c r="A1" s="96"/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118"/>
      <c r="AA1" s="118"/>
      <c r="AB1" s="118"/>
      <c r="AC1" s="118"/>
      <c r="AD1" s="118"/>
    </row>
    <row r="2" spans="1:30" x14ac:dyDescent="0.25">
      <c r="A2" s="96"/>
      <c r="B2" s="96"/>
      <c r="C2" s="96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118"/>
      <c r="AA2" s="118"/>
      <c r="AB2" s="118"/>
      <c r="AC2" s="118"/>
      <c r="AD2" s="118"/>
    </row>
    <row r="3" spans="1:30" x14ac:dyDescent="0.25">
      <c r="A3" s="96"/>
      <c r="B3" s="9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6"/>
      <c r="V3" s="96"/>
      <c r="W3" s="96"/>
      <c r="X3" s="96"/>
      <c r="Y3" s="96"/>
      <c r="Z3" s="118"/>
      <c r="AA3" s="118"/>
      <c r="AB3" s="118"/>
      <c r="AC3" s="118"/>
      <c r="AD3" s="118"/>
    </row>
    <row r="4" spans="1:30" x14ac:dyDescent="0.25">
      <c r="A4" s="96"/>
      <c r="B4" s="9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6"/>
      <c r="X4" s="96"/>
      <c r="Y4" s="96"/>
      <c r="Z4" s="118"/>
      <c r="AA4" s="118"/>
      <c r="AB4" s="118"/>
      <c r="AC4" s="118"/>
      <c r="AD4" s="118"/>
    </row>
    <row r="5" spans="1:30" x14ac:dyDescent="0.25">
      <c r="A5" s="96"/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118"/>
      <c r="AA5" s="118"/>
      <c r="AB5" s="118"/>
      <c r="AC5" s="118"/>
      <c r="AD5" s="118"/>
    </row>
    <row r="6" spans="1:30" x14ac:dyDescent="0.25">
      <c r="A6" s="96"/>
      <c r="B6" s="226" t="s">
        <v>579</v>
      </c>
      <c r="C6" s="120">
        <f ca="1">TODAY()</f>
        <v>45355</v>
      </c>
      <c r="D6" s="96"/>
      <c r="E6" s="96"/>
      <c r="F6" s="96"/>
      <c r="G6" s="96"/>
      <c r="H6" s="96"/>
      <c r="I6" s="96"/>
      <c r="J6" s="96"/>
      <c r="K6" s="96"/>
      <c r="L6" s="121"/>
      <c r="M6" s="96"/>
      <c r="N6" s="96"/>
      <c r="O6" s="96"/>
      <c r="P6" s="96"/>
      <c r="Q6" s="96"/>
      <c r="R6" s="96"/>
      <c r="S6" s="96"/>
      <c r="T6" s="96"/>
      <c r="U6" s="96"/>
      <c r="V6" s="96"/>
      <c r="W6" s="96"/>
      <c r="X6" s="96"/>
      <c r="Y6" s="96"/>
      <c r="Z6" s="118"/>
      <c r="AA6" s="118"/>
      <c r="AB6" s="118"/>
      <c r="AC6" s="118"/>
      <c r="AD6" s="118"/>
    </row>
    <row r="7" spans="1:30" ht="15" customHeight="1" x14ac:dyDescent="0.45">
      <c r="A7" s="122" t="s">
        <v>3</v>
      </c>
      <c r="B7" s="234" t="s">
        <v>4</v>
      </c>
      <c r="C7" s="234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4"/>
      <c r="O7" s="124"/>
      <c r="P7" s="124"/>
      <c r="Q7" s="124"/>
      <c r="R7" s="96"/>
      <c r="S7" s="96"/>
      <c r="T7" s="96"/>
      <c r="U7" s="96"/>
      <c r="V7" s="96"/>
      <c r="W7" s="96"/>
      <c r="X7" s="96"/>
      <c r="Y7" s="96"/>
      <c r="Z7" s="118"/>
      <c r="AA7" s="118"/>
      <c r="AB7" s="118"/>
      <c r="AC7" s="118"/>
      <c r="AD7" s="118"/>
    </row>
    <row r="8" spans="1:30" ht="15" customHeight="1" x14ac:dyDescent="0.45">
      <c r="A8" s="122"/>
      <c r="B8" s="234"/>
      <c r="C8" s="234"/>
      <c r="D8" s="123"/>
      <c r="E8" s="123"/>
      <c r="F8" s="123"/>
      <c r="G8" s="123"/>
      <c r="H8" s="123"/>
      <c r="I8" s="123"/>
      <c r="J8" s="123"/>
      <c r="K8" s="123"/>
      <c r="L8" s="123"/>
      <c r="M8" s="123"/>
      <c r="N8" s="124"/>
      <c r="O8" s="124"/>
      <c r="P8" s="124"/>
      <c r="Q8" s="124"/>
      <c r="R8" s="96"/>
      <c r="S8" s="96"/>
      <c r="T8" s="96"/>
      <c r="U8" s="96"/>
      <c r="V8" s="96"/>
      <c r="W8" s="96"/>
      <c r="X8" s="96"/>
      <c r="Y8" s="96"/>
      <c r="Z8" s="118"/>
      <c r="AA8" s="118"/>
      <c r="AB8" s="118"/>
      <c r="AC8" s="118"/>
      <c r="AD8" s="118"/>
    </row>
    <row r="9" spans="1:30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4"/>
      <c r="M9" s="94"/>
      <c r="N9" s="94"/>
      <c r="O9" s="94"/>
      <c r="P9" s="94"/>
      <c r="Q9" s="94"/>
      <c r="R9" s="94"/>
      <c r="S9" s="96"/>
      <c r="T9" s="96"/>
      <c r="U9" s="96"/>
      <c r="V9" s="96"/>
      <c r="W9" s="96"/>
      <c r="X9" s="96"/>
      <c r="Y9" s="96"/>
      <c r="Z9" s="118"/>
      <c r="AA9" s="118"/>
      <c r="AB9" s="118"/>
      <c r="AC9" s="118"/>
      <c r="AD9" s="118"/>
    </row>
    <row r="10" spans="1:30" x14ac:dyDescent="0.25">
      <c r="A10" s="96"/>
      <c r="B10" s="96" t="s">
        <v>5</v>
      </c>
      <c r="C10" s="117">
        <f>MAX(i)+1</f>
        <v>71</v>
      </c>
      <c r="D10" s="96"/>
      <c r="E10" s="96"/>
      <c r="F10" s="96"/>
      <c r="G10" s="96"/>
      <c r="H10" s="96"/>
      <c r="I10" s="96"/>
      <c r="J10" s="96"/>
      <c r="K10" s="125"/>
      <c r="L10" s="126" t="str">
        <f ca="1">TEXT(L11, "dddd")</f>
        <v>Monday</v>
      </c>
      <c r="M10" s="126" t="str">
        <f ca="1">TEXT(M11, "dddd")</f>
        <v>Tuesday</v>
      </c>
      <c r="N10" s="126" t="str">
        <f t="shared" ref="N10:R10" ca="1" si="0">TEXT(N11, "dddd")</f>
        <v>Wednesday</v>
      </c>
      <c r="O10" s="126" t="str">
        <f t="shared" ca="1" si="0"/>
        <v>Thursday</v>
      </c>
      <c r="P10" s="126" t="str">
        <f t="shared" ca="1" si="0"/>
        <v>Friday</v>
      </c>
      <c r="Q10" s="126" t="str">
        <f t="shared" ca="1" si="0"/>
        <v>Saturday</v>
      </c>
      <c r="R10" s="127" t="str">
        <f t="shared" ca="1" si="0"/>
        <v>Sunday</v>
      </c>
      <c r="S10" s="94"/>
      <c r="T10" s="94"/>
      <c r="U10" s="96"/>
      <c r="V10" s="96"/>
      <c r="W10" s="96"/>
      <c r="X10" s="96"/>
      <c r="Y10" s="96"/>
      <c r="Z10" s="118"/>
      <c r="AA10" s="118"/>
      <c r="AB10" s="118"/>
      <c r="AC10" s="118"/>
      <c r="AD10" s="118"/>
    </row>
    <row r="11" spans="1:30" x14ac:dyDescent="0.25">
      <c r="A11" s="96"/>
      <c r="B11" s="96"/>
      <c r="C11" s="96"/>
      <c r="D11" s="94"/>
      <c r="E11" s="94"/>
      <c r="F11" s="94"/>
      <c r="G11" s="94"/>
      <c r="H11" s="94"/>
      <c r="I11" s="94"/>
      <c r="J11" s="117" t="s">
        <v>0</v>
      </c>
      <c r="K11" s="125"/>
      <c r="L11" s="128">
        <f ca="1">TODAY()</f>
        <v>45355</v>
      </c>
      <c r="M11" s="128">
        <f ca="1">L11+1</f>
        <v>45356</v>
      </c>
      <c r="N11" s="128">
        <f ca="1">L11+2</f>
        <v>45357</v>
      </c>
      <c r="O11" s="128">
        <f ca="1">L11+3</f>
        <v>45358</v>
      </c>
      <c r="P11" s="128">
        <f ca="1">L11+4</f>
        <v>45359</v>
      </c>
      <c r="Q11" s="128">
        <f ca="1">L11+5</f>
        <v>45360</v>
      </c>
      <c r="R11" s="129">
        <f ca="1">L11+6</f>
        <v>45361</v>
      </c>
      <c r="S11" s="94"/>
      <c r="T11" s="94"/>
      <c r="U11" s="96"/>
      <c r="V11" s="96"/>
      <c r="W11" s="96"/>
      <c r="X11" s="96"/>
      <c r="Y11" s="96"/>
      <c r="Z11" s="118"/>
      <c r="AA11" s="118"/>
      <c r="AB11" s="118"/>
      <c r="AC11" s="118"/>
      <c r="AD11" s="118"/>
    </row>
    <row r="12" spans="1:30" x14ac:dyDescent="0.25">
      <c r="A12" s="96"/>
      <c r="B12" s="96" t="s">
        <v>6</v>
      </c>
      <c r="C12" s="214">
        <v>1</v>
      </c>
      <c r="D12" s="94"/>
      <c r="E12" s="98"/>
      <c r="F12" s="94"/>
      <c r="G12" s="94"/>
      <c r="H12" s="94"/>
      <c r="I12" s="94"/>
      <c r="J12" s="96"/>
      <c r="K12" s="130" t="s">
        <v>7</v>
      </c>
      <c r="L12" s="131" t="s">
        <v>8</v>
      </c>
      <c r="M12" s="131" t="s">
        <v>8</v>
      </c>
      <c r="N12" s="131" t="s">
        <v>8</v>
      </c>
      <c r="O12" s="131" t="s">
        <v>8</v>
      </c>
      <c r="P12" s="131" t="s">
        <v>8</v>
      </c>
      <c r="Q12" s="131" t="s">
        <v>8</v>
      </c>
      <c r="R12" s="132" t="s">
        <v>8</v>
      </c>
      <c r="S12" s="96"/>
      <c r="T12" s="96"/>
      <c r="U12" s="96"/>
      <c r="V12" s="96"/>
      <c r="W12" s="96"/>
      <c r="X12" s="96"/>
      <c r="Y12" s="96"/>
    </row>
    <row r="13" spans="1:30" x14ac:dyDescent="0.25">
      <c r="A13" s="96"/>
      <c r="B13" s="96"/>
      <c r="C13" s="96"/>
      <c r="D13" s="94"/>
      <c r="E13" s="94"/>
      <c r="F13" s="94"/>
      <c r="G13" s="94"/>
      <c r="H13" s="94"/>
      <c r="I13" s="94"/>
      <c r="J13" s="117"/>
      <c r="K13" s="130" t="s">
        <v>9</v>
      </c>
      <c r="L13" s="131" t="s">
        <v>8</v>
      </c>
      <c r="M13" s="131" t="s">
        <v>8</v>
      </c>
      <c r="N13" s="131" t="s">
        <v>8</v>
      </c>
      <c r="O13" s="131" t="s">
        <v>8</v>
      </c>
      <c r="P13" s="131" t="s">
        <v>8</v>
      </c>
      <c r="Q13" s="131" t="s">
        <v>8</v>
      </c>
      <c r="R13" s="132" t="s">
        <v>8</v>
      </c>
      <c r="S13" s="96"/>
      <c r="T13" s="96"/>
      <c r="U13" s="96"/>
      <c r="V13" s="96"/>
      <c r="W13" s="96"/>
      <c r="X13" s="96"/>
      <c r="Y13" s="96"/>
    </row>
    <row r="14" spans="1:30" x14ac:dyDescent="0.25">
      <c r="A14" s="96"/>
      <c r="B14" s="96" t="s">
        <v>10</v>
      </c>
      <c r="C14" s="99" t="str">
        <f>IF(C12="","",VLOOKUP(C12,Members1,2))</f>
        <v>Miss</v>
      </c>
      <c r="D14" s="100" t="str">
        <f>IF(C12="","",VLOOKUP(C12,Members1,3))</f>
        <v>Aleshia</v>
      </c>
      <c r="E14" s="101" t="str">
        <f>IF(C12="","",VLOOKUP(C12,Members1,4))</f>
        <v>Tomkiewicz</v>
      </c>
      <c r="F14" s="94"/>
      <c r="G14" s="110">
        <f>IF(C12="","",VLOOKUP(C12,Members1,6))</f>
        <v>11</v>
      </c>
      <c r="H14" s="94" t="str">
        <f>IF(D50=TRUE,"Must be Supervised","")</f>
        <v>Must be Supervised</v>
      </c>
      <c r="I14" s="94"/>
      <c r="J14" s="117"/>
      <c r="K14" s="130" t="s">
        <v>11</v>
      </c>
      <c r="L14" s="131" t="s">
        <v>8</v>
      </c>
      <c r="M14" s="131" t="s">
        <v>8</v>
      </c>
      <c r="N14" s="131" t="s">
        <v>8</v>
      </c>
      <c r="O14" s="131" t="s">
        <v>8</v>
      </c>
      <c r="P14" s="131" t="s">
        <v>8</v>
      </c>
      <c r="Q14" s="131" t="s">
        <v>8</v>
      </c>
      <c r="R14" s="132" t="s">
        <v>8</v>
      </c>
      <c r="S14" s="96"/>
      <c r="T14" s="96"/>
      <c r="U14" s="96"/>
      <c r="V14" s="96"/>
      <c r="W14" s="96"/>
      <c r="X14" s="96"/>
      <c r="Y14" s="96"/>
    </row>
    <row r="15" spans="1:30" x14ac:dyDescent="0.25">
      <c r="A15" s="96"/>
      <c r="B15" s="102"/>
      <c r="C15" s="96"/>
      <c r="D15" s="94"/>
      <c r="E15" s="94"/>
      <c r="F15" s="94"/>
      <c r="G15" s="95"/>
      <c r="H15" s="95"/>
      <c r="I15" s="95"/>
      <c r="J15" s="117"/>
      <c r="K15" s="130" t="s">
        <v>12</v>
      </c>
      <c r="L15" s="131" t="s">
        <v>8</v>
      </c>
      <c r="M15" s="131" t="s">
        <v>8</v>
      </c>
      <c r="N15" s="131" t="s">
        <v>8</v>
      </c>
      <c r="O15" s="131" t="s">
        <v>8</v>
      </c>
      <c r="P15" s="131" t="s">
        <v>8</v>
      </c>
      <c r="Q15" s="131" t="s">
        <v>8</v>
      </c>
      <c r="R15" s="132" t="s">
        <v>8</v>
      </c>
      <c r="S15" s="96"/>
      <c r="T15" s="96"/>
      <c r="U15" s="96"/>
      <c r="V15" s="96"/>
      <c r="W15" s="96"/>
      <c r="X15" s="96"/>
      <c r="Y15" s="96"/>
    </row>
    <row r="16" spans="1:30" ht="18.75" x14ac:dyDescent="0.3">
      <c r="A16" s="96"/>
      <c r="B16" s="96" t="s">
        <v>13</v>
      </c>
      <c r="C16" s="139">
        <v>1</v>
      </c>
      <c r="D16" s="94"/>
      <c r="E16" s="94" t="s">
        <v>14</v>
      </c>
      <c r="F16" s="100">
        <f>IF(C16="","",VLOOKUP(C16,Activities1,1))</f>
        <v>1</v>
      </c>
      <c r="G16" s="95" t="b">
        <f>IF(G14&gt;F24,TRUE)</f>
        <v>0</v>
      </c>
      <c r="H16" s="95"/>
      <c r="I16" s="109" t="str">
        <f ca="1">IF(D47=1,"Not Available","")</f>
        <v/>
      </c>
      <c r="J16" s="117"/>
      <c r="K16" s="130" t="s">
        <v>15</v>
      </c>
      <c r="L16" s="131" t="s">
        <v>8</v>
      </c>
      <c r="M16" s="131" t="s">
        <v>8</v>
      </c>
      <c r="N16" s="131" t="s">
        <v>8</v>
      </c>
      <c r="O16" s="131" t="s">
        <v>8</v>
      </c>
      <c r="P16" s="131" t="s">
        <v>8</v>
      </c>
      <c r="Q16" s="131" t="s">
        <v>8</v>
      </c>
      <c r="R16" s="132" t="s">
        <v>8</v>
      </c>
      <c r="S16" s="96"/>
      <c r="T16" s="96"/>
      <c r="U16" s="96"/>
      <c r="V16" s="96"/>
      <c r="W16" s="96"/>
      <c r="X16" s="96"/>
      <c r="Y16" s="96"/>
    </row>
    <row r="17" spans="1:25" x14ac:dyDescent="0.25">
      <c r="A17" s="96"/>
      <c r="B17" s="96"/>
      <c r="C17" s="96"/>
      <c r="D17" s="94"/>
      <c r="E17" s="94"/>
      <c r="F17" s="94"/>
      <c r="G17" s="95"/>
      <c r="H17" s="95"/>
      <c r="I17" s="95"/>
      <c r="J17" s="117"/>
      <c r="K17" s="130" t="s">
        <v>16</v>
      </c>
      <c r="L17" s="131" t="s">
        <v>8</v>
      </c>
      <c r="M17" s="131" t="s">
        <v>8</v>
      </c>
      <c r="N17" s="131" t="s">
        <v>8</v>
      </c>
      <c r="O17" s="131" t="s">
        <v>8</v>
      </c>
      <c r="P17" s="131" t="s">
        <v>8</v>
      </c>
      <c r="Q17" s="131" t="s">
        <v>8</v>
      </c>
      <c r="R17" s="132" t="s">
        <v>8</v>
      </c>
      <c r="S17" s="96"/>
      <c r="T17" s="96"/>
      <c r="U17" s="96"/>
      <c r="V17" s="96"/>
      <c r="W17" s="96"/>
      <c r="X17" s="96"/>
      <c r="Y17" s="96"/>
    </row>
    <row r="18" spans="1:25" x14ac:dyDescent="0.25">
      <c r="A18" s="96"/>
      <c r="B18" s="96" t="s">
        <v>17</v>
      </c>
      <c r="C18" s="103">
        <f>IF(C16="",0,VLOOKUP(C16,Activities1,3))</f>
        <v>8</v>
      </c>
      <c r="D18" s="94"/>
      <c r="E18" s="94"/>
      <c r="F18" s="94"/>
      <c r="G18" s="95"/>
      <c r="H18" s="95"/>
      <c r="I18" s="95"/>
      <c r="J18" s="117"/>
      <c r="K18" s="130" t="s">
        <v>18</v>
      </c>
      <c r="L18" s="131" t="s">
        <v>8</v>
      </c>
      <c r="M18" s="131" t="s">
        <v>8</v>
      </c>
      <c r="N18" s="131" t="s">
        <v>8</v>
      </c>
      <c r="O18" s="131" t="s">
        <v>8</v>
      </c>
      <c r="P18" s="131" t="s">
        <v>8</v>
      </c>
      <c r="Q18" s="131" t="s">
        <v>8</v>
      </c>
      <c r="R18" s="132" t="s">
        <v>8</v>
      </c>
      <c r="S18" s="96"/>
      <c r="T18" s="96"/>
      <c r="U18" s="96"/>
      <c r="V18" s="96"/>
      <c r="W18" s="96"/>
      <c r="X18" s="96"/>
      <c r="Y18" s="96"/>
    </row>
    <row r="19" spans="1:25" x14ac:dyDescent="0.25">
      <c r="A19" s="96"/>
      <c r="B19" s="96"/>
      <c r="C19" s="96"/>
      <c r="D19" s="94"/>
      <c r="E19" s="94"/>
      <c r="F19" s="104"/>
      <c r="G19" s="95"/>
      <c r="H19" s="95"/>
      <c r="I19" s="95"/>
      <c r="J19" s="117"/>
      <c r="K19" s="130" t="s">
        <v>19</v>
      </c>
      <c r="L19" s="131" t="s">
        <v>8</v>
      </c>
      <c r="M19" s="131" t="s">
        <v>8</v>
      </c>
      <c r="N19" s="131" t="s">
        <v>8</v>
      </c>
      <c r="O19" s="131" t="s">
        <v>8</v>
      </c>
      <c r="P19" s="131" t="s">
        <v>8</v>
      </c>
      <c r="Q19" s="131" t="s">
        <v>8</v>
      </c>
      <c r="R19" s="132" t="s">
        <v>8</v>
      </c>
      <c r="S19" s="96"/>
      <c r="T19" s="96"/>
      <c r="U19" s="96"/>
      <c r="V19" s="96"/>
      <c r="W19" s="96"/>
      <c r="X19" s="96"/>
      <c r="Y19" s="96"/>
    </row>
    <row r="20" spans="1:25" x14ac:dyDescent="0.25">
      <c r="A20" s="96"/>
      <c r="B20" s="96" t="s">
        <v>20</v>
      </c>
      <c r="C20" s="138"/>
      <c r="D20" s="139">
        <v>2</v>
      </c>
      <c r="E20" s="105" t="s">
        <v>21</v>
      </c>
      <c r="F20" s="94"/>
      <c r="G20" s="95"/>
      <c r="H20" s="95" t="b">
        <f>AND(H21&lt;=4,G16=FALSE)</f>
        <v>1</v>
      </c>
      <c r="I20" s="95"/>
      <c r="J20" s="117"/>
      <c r="K20" s="130" t="s">
        <v>22</v>
      </c>
      <c r="L20" s="131" t="s">
        <v>8</v>
      </c>
      <c r="M20" s="131" t="s">
        <v>8</v>
      </c>
      <c r="N20" s="131" t="s">
        <v>8</v>
      </c>
      <c r="O20" s="131" t="s">
        <v>8</v>
      </c>
      <c r="P20" s="131" t="s">
        <v>8</v>
      </c>
      <c r="Q20" s="131" t="s">
        <v>8</v>
      </c>
      <c r="R20" s="132" t="s">
        <v>8</v>
      </c>
      <c r="S20" s="96"/>
      <c r="T20" s="96"/>
      <c r="U20" s="96"/>
      <c r="V20" s="96"/>
      <c r="W20" s="96"/>
      <c r="X20" s="96"/>
      <c r="Y20" s="96"/>
    </row>
    <row r="21" spans="1:25" x14ac:dyDescent="0.25">
      <c r="A21" s="96"/>
      <c r="B21" s="96"/>
      <c r="C21" s="96"/>
      <c r="D21" s="94"/>
      <c r="E21" s="94"/>
      <c r="F21" s="106"/>
      <c r="G21" s="95"/>
      <c r="H21" s="139">
        <v>1</v>
      </c>
      <c r="I21" s="95"/>
      <c r="J21" s="117"/>
      <c r="K21" s="130" t="s">
        <v>23</v>
      </c>
      <c r="L21" s="131" t="s">
        <v>8</v>
      </c>
      <c r="M21" s="131" t="s">
        <v>8</v>
      </c>
      <c r="N21" s="131" t="s">
        <v>8</v>
      </c>
      <c r="O21" s="131" t="s">
        <v>8</v>
      </c>
      <c r="P21" s="131" t="s">
        <v>8</v>
      </c>
      <c r="Q21" s="131" t="s">
        <v>8</v>
      </c>
      <c r="R21" s="132" t="s">
        <v>8</v>
      </c>
      <c r="S21" s="96"/>
      <c r="T21" s="96"/>
      <c r="U21" s="96"/>
      <c r="V21" s="96"/>
      <c r="W21" s="96"/>
      <c r="X21" s="96"/>
      <c r="Y21" s="96"/>
    </row>
    <row r="22" spans="1:25" x14ac:dyDescent="0.25">
      <c r="A22" s="96"/>
      <c r="B22" s="96" t="s">
        <v>24</v>
      </c>
      <c r="C22" s="107"/>
      <c r="D22" s="139" t="b">
        <v>1</v>
      </c>
      <c r="E22" s="105" t="s">
        <v>187</v>
      </c>
      <c r="F22" s="106" t="str">
        <f>IF(H20=TRUE,"5%","    -")</f>
        <v>5%</v>
      </c>
      <c r="G22" s="95"/>
      <c r="H22" s="139"/>
      <c r="I22" s="95"/>
      <c r="J22" s="117"/>
      <c r="K22" s="130" t="s">
        <v>25</v>
      </c>
      <c r="L22" s="131" t="s">
        <v>8</v>
      </c>
      <c r="M22" s="131" t="s">
        <v>8</v>
      </c>
      <c r="N22" s="131" t="s">
        <v>8</v>
      </c>
      <c r="O22" s="131" t="s">
        <v>8</v>
      </c>
      <c r="P22" s="131" t="s">
        <v>8</v>
      </c>
      <c r="Q22" s="131" t="s">
        <v>8</v>
      </c>
      <c r="R22" s="132" t="s">
        <v>8</v>
      </c>
      <c r="S22" s="96"/>
      <c r="T22" s="96"/>
      <c r="U22" s="96"/>
      <c r="V22" s="96"/>
      <c r="W22" s="96"/>
      <c r="X22" s="96"/>
      <c r="Y22" s="96"/>
    </row>
    <row r="23" spans="1:25" x14ac:dyDescent="0.25">
      <c r="A23" s="96"/>
      <c r="B23" s="96"/>
      <c r="C23" s="96"/>
      <c r="D23" s="94"/>
      <c r="E23" s="106" t="s">
        <v>188</v>
      </c>
      <c r="F23" s="106" t="str">
        <f>IF(G16=TRUE,"35%","     -")</f>
        <v xml:space="preserve">     -</v>
      </c>
      <c r="G23" s="94"/>
      <c r="H23" s="94"/>
      <c r="I23" s="94"/>
      <c r="J23" s="117"/>
      <c r="K23" s="130" t="s">
        <v>26</v>
      </c>
      <c r="L23" s="131" t="s">
        <v>8</v>
      </c>
      <c r="M23" s="131" t="s">
        <v>8</v>
      </c>
      <c r="N23" s="131" t="s">
        <v>8</v>
      </c>
      <c r="O23" s="131" t="s">
        <v>8</v>
      </c>
      <c r="P23" s="131" t="s">
        <v>8</v>
      </c>
      <c r="Q23" s="131" t="s">
        <v>8</v>
      </c>
      <c r="R23" s="132" t="s">
        <v>8</v>
      </c>
      <c r="S23" s="96"/>
      <c r="T23" s="96"/>
      <c r="U23" s="96"/>
      <c r="V23" s="96"/>
      <c r="W23" s="96"/>
      <c r="X23" s="96"/>
      <c r="Y23" s="96"/>
    </row>
    <row r="24" spans="1:25" x14ac:dyDescent="0.25">
      <c r="A24" s="96"/>
      <c r="B24" s="96" t="s">
        <v>27</v>
      </c>
      <c r="C24" s="103">
        <f>IF(H20=TRUE,D44*95/100,D44)</f>
        <v>17.100000000000001</v>
      </c>
      <c r="D24" s="94"/>
      <c r="E24" s="106" t="s">
        <v>190</v>
      </c>
      <c r="F24" s="215">
        <v>76</v>
      </c>
      <c r="G24" s="94"/>
      <c r="H24" s="94"/>
      <c r="I24" s="94"/>
      <c r="J24" s="117"/>
      <c r="K24" s="133" t="s">
        <v>28</v>
      </c>
      <c r="L24" s="134" t="s">
        <v>8</v>
      </c>
      <c r="M24" s="134" t="s">
        <v>8</v>
      </c>
      <c r="N24" s="134" t="s">
        <v>8</v>
      </c>
      <c r="O24" s="134" t="s">
        <v>8</v>
      </c>
      <c r="P24" s="134" t="s">
        <v>8</v>
      </c>
      <c r="Q24" s="134" t="s">
        <v>8</v>
      </c>
      <c r="R24" s="135" t="s">
        <v>8</v>
      </c>
      <c r="S24" s="96"/>
      <c r="T24" s="96"/>
      <c r="U24" s="96"/>
      <c r="V24" s="96"/>
      <c r="W24" s="96"/>
      <c r="X24" s="96"/>
      <c r="Y24" s="96"/>
    </row>
    <row r="25" spans="1:25" x14ac:dyDescent="0.25">
      <c r="A25" s="96"/>
      <c r="B25" s="96"/>
      <c r="C25" s="96"/>
      <c r="D25" s="94"/>
      <c r="E25" s="94"/>
      <c r="F25" s="94"/>
      <c r="G25" s="94"/>
      <c r="H25" s="94"/>
      <c r="I25" s="94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96"/>
      <c r="U25" s="96"/>
      <c r="V25" s="96"/>
      <c r="W25" s="96"/>
      <c r="X25" s="96"/>
      <c r="Y25" s="96"/>
    </row>
    <row r="26" spans="1:25" x14ac:dyDescent="0.25">
      <c r="A26" s="96"/>
      <c r="B26" s="96"/>
      <c r="C26" s="96"/>
      <c r="D26" s="94"/>
      <c r="E26" s="94"/>
      <c r="F26" s="94"/>
      <c r="G26" s="94"/>
      <c r="H26" s="94"/>
      <c r="I26" s="94"/>
      <c r="J26" s="96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96"/>
    </row>
    <row r="27" spans="1:25" x14ac:dyDescent="0.25">
      <c r="A27" s="96"/>
      <c r="B27" s="96" t="s">
        <v>29</v>
      </c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</row>
    <row r="28" spans="1:25" x14ac:dyDescent="0.25">
      <c r="A28" s="96"/>
      <c r="B28" s="111" t="s">
        <v>30</v>
      </c>
      <c r="C28" s="111" t="s">
        <v>5</v>
      </c>
      <c r="D28" s="111" t="s">
        <v>6</v>
      </c>
      <c r="E28" s="111" t="s">
        <v>31</v>
      </c>
      <c r="F28" s="111" t="s">
        <v>32</v>
      </c>
      <c r="G28" s="111" t="s">
        <v>33</v>
      </c>
      <c r="H28" s="111" t="s">
        <v>14</v>
      </c>
      <c r="I28" s="111" t="s">
        <v>34</v>
      </c>
      <c r="J28" s="111" t="s">
        <v>35</v>
      </c>
      <c r="K28" s="111" t="s">
        <v>36</v>
      </c>
      <c r="L28" s="111" t="s">
        <v>37</v>
      </c>
      <c r="M28" s="111" t="s">
        <v>38</v>
      </c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</row>
    <row r="29" spans="1:25" x14ac:dyDescent="0.25">
      <c r="A29" s="96"/>
      <c r="B29" s="112">
        <f ca="1">C6</f>
        <v>45355</v>
      </c>
      <c r="C29" s="113">
        <f>IF(C12="","",C10)</f>
        <v>71</v>
      </c>
      <c r="D29" s="113">
        <f>IF(C12=0,"",C12)</f>
        <v>1</v>
      </c>
      <c r="E29" s="113" t="str">
        <f>C14</f>
        <v>Miss</v>
      </c>
      <c r="F29" s="113" t="str">
        <f>D14</f>
        <v>Aleshia</v>
      </c>
      <c r="G29" s="113" t="str">
        <f>E14</f>
        <v>Tomkiewicz</v>
      </c>
      <c r="H29" s="114">
        <f>F16</f>
        <v>1</v>
      </c>
      <c r="I29" s="113" t="str">
        <f>IF(C16="","",VLOOKUP(C16,Activities1,2))</f>
        <v>Swimming</v>
      </c>
      <c r="J29" s="115">
        <f>IF(C16="","",VLOOKUP(C16,Activities1,3))</f>
        <v>8</v>
      </c>
      <c r="K29" s="116">
        <f ca="1" xml:space="preserve"> IF(D20="","",CHOOSE(D20,Q45,Q46,Q47,Q48,Q49,Q50,Q51))</f>
        <v>45356</v>
      </c>
      <c r="L29" s="112" t="str">
        <f>IF(H21="","",CHOOSE(H21, "9:00", "10:00", "11:00", "12:00", "13:00", "14:00", "15:00", "16:00", "17:00", "18:00", "19:00", "20:00", "21:00"))</f>
        <v>9:00</v>
      </c>
      <c r="M29" s="115">
        <f>IF(C12="","",C24)</f>
        <v>17.100000000000001</v>
      </c>
      <c r="N29" s="13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</row>
    <row r="30" spans="1:25" x14ac:dyDescent="0.25">
      <c r="A30" s="96"/>
      <c r="B30" s="96"/>
      <c r="C30" s="96"/>
      <c r="D30" s="96"/>
      <c r="E30" s="96"/>
      <c r="F30" s="96"/>
      <c r="G30" s="121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</row>
    <row r="31" spans="1:25" x14ac:dyDescent="0.25">
      <c r="A31" s="96"/>
      <c r="B31" s="124"/>
      <c r="C31" s="124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96"/>
      <c r="S31" s="96"/>
      <c r="T31" s="96"/>
      <c r="U31" s="96"/>
      <c r="V31" s="96"/>
      <c r="W31" s="96"/>
      <c r="X31" s="96"/>
      <c r="Y31" s="96"/>
    </row>
    <row r="32" spans="1:25" x14ac:dyDescent="0.25">
      <c r="A32" s="96"/>
      <c r="B32" s="124"/>
      <c r="C32" s="124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96"/>
      <c r="S32" s="96"/>
      <c r="T32" s="96"/>
      <c r="U32" s="96"/>
      <c r="V32" s="96"/>
      <c r="W32" s="96"/>
      <c r="X32" s="96"/>
      <c r="Y32" s="96"/>
    </row>
    <row r="33" spans="1:30" x14ac:dyDescent="0.25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</row>
    <row r="34" spans="1:30" x14ac:dyDescent="0.25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</row>
    <row r="35" spans="1:30" x14ac:dyDescent="0.25">
      <c r="A35" s="94"/>
      <c r="B35" s="94"/>
      <c r="C35" s="94"/>
      <c r="D35" s="94"/>
      <c r="E35" s="94"/>
      <c r="F35" s="94"/>
      <c r="G35" s="94"/>
      <c r="H35" s="94"/>
      <c r="I35" s="94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96"/>
    </row>
    <row r="36" spans="1:30" x14ac:dyDescent="0.25">
      <c r="A36" s="94"/>
      <c r="B36" s="94"/>
      <c r="C36" s="94"/>
      <c r="D36" s="94"/>
      <c r="E36" s="94"/>
      <c r="F36" s="94"/>
      <c r="G36" s="94"/>
      <c r="H36" s="94"/>
      <c r="I36" s="94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96"/>
      <c r="X36" s="96"/>
      <c r="Y36" s="96"/>
      <c r="Z36" s="118"/>
      <c r="AA36" s="118"/>
      <c r="AB36" s="118"/>
      <c r="AC36" s="118"/>
      <c r="AD36" s="118"/>
    </row>
    <row r="37" spans="1:30" x14ac:dyDescent="0.25">
      <c r="A37" s="94"/>
      <c r="B37" s="94"/>
      <c r="C37" s="94"/>
      <c r="D37" s="94"/>
      <c r="E37" s="94"/>
      <c r="F37" s="94"/>
      <c r="G37" s="94"/>
      <c r="H37" s="94"/>
      <c r="I37" s="94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118"/>
      <c r="AA37" s="118"/>
      <c r="AB37" s="118"/>
      <c r="AC37" s="118"/>
      <c r="AD37" s="118"/>
    </row>
    <row r="38" spans="1:30" x14ac:dyDescent="0.25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118"/>
      <c r="AA38" s="118"/>
      <c r="AB38" s="118"/>
      <c r="AC38" s="118"/>
      <c r="AD38" s="118"/>
    </row>
    <row r="39" spans="1:30" x14ac:dyDescent="0.25">
      <c r="A39" s="94"/>
      <c r="B39" s="94"/>
      <c r="C39" s="94"/>
      <c r="D39" s="94"/>
      <c r="E39" s="94"/>
      <c r="F39" s="96"/>
      <c r="G39" s="94"/>
      <c r="H39" s="94"/>
      <c r="I39" s="94"/>
      <c r="J39" s="94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118"/>
      <c r="AA39" s="118"/>
      <c r="AB39" s="118"/>
      <c r="AC39" s="118"/>
      <c r="AD39" s="118"/>
    </row>
    <row r="40" spans="1:30" x14ac:dyDescent="0.25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118"/>
      <c r="AA40" s="118"/>
      <c r="AB40" s="118"/>
      <c r="AC40" s="118"/>
      <c r="AD40" s="118"/>
    </row>
    <row r="41" spans="1:30" x14ac:dyDescent="0.25">
      <c r="A41" s="94"/>
      <c r="B41" s="95"/>
      <c r="C41" s="95"/>
      <c r="D41" s="95"/>
      <c r="E41" s="95"/>
      <c r="F41" s="94"/>
      <c r="G41" s="94"/>
      <c r="H41" s="94"/>
      <c r="I41" s="94"/>
      <c r="J41" s="94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118"/>
      <c r="AA41" s="118"/>
      <c r="AB41" s="118"/>
      <c r="AC41" s="118"/>
      <c r="AD41" s="118"/>
    </row>
    <row r="42" spans="1:30" x14ac:dyDescent="0.25">
      <c r="A42" s="94"/>
      <c r="B42" s="95"/>
      <c r="C42" s="95" t="s">
        <v>185</v>
      </c>
      <c r="D42" s="108">
        <f>IF(G16=TRUE,C18*75/100,C18)</f>
        <v>8</v>
      </c>
      <c r="E42" s="95"/>
      <c r="F42" s="94"/>
      <c r="G42" s="94"/>
      <c r="H42" s="94"/>
      <c r="I42" s="94"/>
      <c r="J42" s="94"/>
      <c r="K42" s="95"/>
      <c r="L42" s="95"/>
      <c r="M42" s="95"/>
      <c r="N42" s="95"/>
      <c r="O42" s="95"/>
      <c r="P42" s="95"/>
      <c r="Q42" s="95"/>
      <c r="R42" s="96"/>
      <c r="S42" s="96"/>
      <c r="T42" s="96"/>
      <c r="U42" s="96"/>
    </row>
    <row r="43" spans="1:30" x14ac:dyDescent="0.25">
      <c r="A43" s="94"/>
      <c r="B43" s="95"/>
      <c r="C43" s="95"/>
      <c r="D43" s="95"/>
      <c r="E43" s="95"/>
      <c r="F43" s="94"/>
      <c r="G43" s="94"/>
      <c r="H43" s="94"/>
      <c r="I43" s="94"/>
      <c r="J43" s="94"/>
      <c r="K43" s="95"/>
      <c r="L43" s="95"/>
      <c r="M43" s="95"/>
      <c r="N43" s="95"/>
      <c r="O43" s="95"/>
      <c r="P43" s="95"/>
      <c r="Q43" s="95"/>
      <c r="R43" s="96"/>
      <c r="S43" s="96"/>
      <c r="T43" s="96"/>
      <c r="U43" s="96"/>
    </row>
    <row r="44" spans="1:30" x14ac:dyDescent="0.25">
      <c r="A44" s="94"/>
      <c r="B44" s="95"/>
      <c r="C44" s="95" t="s">
        <v>186</v>
      </c>
      <c r="D44" s="95">
        <f>IF(D22=TRUE,IF(G16=TRUE,D42+7.5,C18+10),IF(G16=TRUE,D42,C18))</f>
        <v>18</v>
      </c>
      <c r="E44" s="95"/>
      <c r="F44" s="94"/>
      <c r="G44" s="94"/>
      <c r="H44" s="94"/>
      <c r="I44" s="94"/>
      <c r="J44" s="94"/>
      <c r="K44" s="95"/>
      <c r="L44" s="95"/>
      <c r="M44" s="95"/>
      <c r="N44" s="95"/>
      <c r="O44" s="95"/>
      <c r="P44" s="95"/>
      <c r="Q44" s="95"/>
      <c r="R44" s="96"/>
      <c r="S44" s="96"/>
      <c r="T44" s="96"/>
      <c r="U44" s="96"/>
    </row>
    <row r="45" spans="1:30" x14ac:dyDescent="0.25">
      <c r="A45" s="94"/>
      <c r="B45" s="95"/>
      <c r="C45" s="95"/>
      <c r="D45" s="95"/>
      <c r="E45" s="95"/>
      <c r="F45" s="94"/>
      <c r="G45" s="94"/>
      <c r="H45" s="94"/>
      <c r="I45" s="94"/>
      <c r="J45" s="94"/>
      <c r="K45" s="95"/>
      <c r="L45" s="95"/>
      <c r="M45" s="95"/>
      <c r="N45" s="95"/>
      <c r="O45" s="95"/>
      <c r="P45" s="95"/>
      <c r="Q45" s="137">
        <f ca="1">TODAY()</f>
        <v>45355</v>
      </c>
      <c r="R45" s="96"/>
      <c r="S45" s="96"/>
      <c r="T45" s="96"/>
      <c r="U45" s="96"/>
    </row>
    <row r="46" spans="1:30" x14ac:dyDescent="0.25">
      <c r="A46" s="94"/>
      <c r="B46" s="95"/>
      <c r="C46" s="95"/>
      <c r="D46" s="95"/>
      <c r="E46" s="95"/>
      <c r="F46" s="94"/>
      <c r="G46" s="94"/>
      <c r="H46" s="94"/>
      <c r="I46" s="94"/>
      <c r="J46" s="94"/>
      <c r="K46" s="95"/>
      <c r="L46" s="95"/>
      <c r="M46" s="95"/>
      <c r="N46" s="95"/>
      <c r="O46" s="95"/>
      <c r="P46" s="95"/>
      <c r="Q46" s="137">
        <f ca="1">$Q$45+1</f>
        <v>45356</v>
      </c>
      <c r="R46" s="96"/>
      <c r="S46" s="96"/>
      <c r="T46" s="96"/>
      <c r="U46" s="96"/>
    </row>
    <row r="47" spans="1:30" x14ac:dyDescent="0.25">
      <c r="A47" s="94"/>
      <c r="B47" s="95"/>
      <c r="C47" s="95" t="s">
        <v>192</v>
      </c>
      <c r="D47" s="95">
        <f ca="1">COUNTIFS(Activities!H10:H15,Booking!I29,Activities!I10:I15,Booking!K29)</f>
        <v>0</v>
      </c>
      <c r="E47" s="95"/>
      <c r="F47" s="94"/>
      <c r="G47" s="94"/>
      <c r="H47" s="94"/>
      <c r="I47" s="94"/>
      <c r="J47" s="94"/>
      <c r="K47" s="95"/>
      <c r="L47" s="95"/>
      <c r="M47" s="95"/>
      <c r="N47" s="95"/>
      <c r="O47" s="95"/>
      <c r="P47" s="95"/>
      <c r="Q47" s="137">
        <f ca="1">$Q$45+2</f>
        <v>45357</v>
      </c>
      <c r="R47" s="96"/>
      <c r="S47" s="96"/>
      <c r="T47" s="96"/>
      <c r="U47" s="96"/>
    </row>
    <row r="48" spans="1:30" x14ac:dyDescent="0.25">
      <c r="A48" s="94"/>
      <c r="B48" s="95"/>
      <c r="C48" s="95"/>
      <c r="D48" s="95"/>
      <c r="E48" s="95"/>
      <c r="F48" s="94"/>
      <c r="G48" s="94"/>
      <c r="H48" s="94"/>
      <c r="I48" s="94"/>
      <c r="J48" s="94"/>
      <c r="K48" s="95"/>
      <c r="L48" s="95"/>
      <c r="M48" s="95"/>
      <c r="N48" s="95"/>
      <c r="O48" s="95"/>
      <c r="P48" s="95"/>
      <c r="Q48" s="137">
        <f ca="1">$Q$45+3</f>
        <v>45358</v>
      </c>
      <c r="R48" s="96"/>
      <c r="S48" s="96"/>
      <c r="T48" s="96"/>
      <c r="U48" s="96"/>
    </row>
    <row r="49" spans="1:21" x14ac:dyDescent="0.25">
      <c r="A49" s="94"/>
      <c r="B49" s="95"/>
      <c r="C49" s="95"/>
      <c r="D49" s="95"/>
      <c r="E49" s="95"/>
      <c r="F49" s="94"/>
      <c r="G49" s="94"/>
      <c r="H49" s="94"/>
      <c r="I49" s="94"/>
      <c r="J49" s="94"/>
      <c r="K49" s="95"/>
      <c r="L49" s="95"/>
      <c r="M49" s="95"/>
      <c r="N49" s="95"/>
      <c r="O49" s="95"/>
      <c r="P49" s="95"/>
      <c r="Q49" s="137">
        <f ca="1">$Q$45+4</f>
        <v>45359</v>
      </c>
      <c r="R49" s="96"/>
      <c r="S49" s="96"/>
      <c r="T49" s="96"/>
      <c r="U49" s="96"/>
    </row>
    <row r="50" spans="1:21" x14ac:dyDescent="0.25">
      <c r="A50" s="94"/>
      <c r="B50" s="95"/>
      <c r="C50" s="95" t="s">
        <v>193</v>
      </c>
      <c r="D50" s="95" t="b">
        <f>AND(G14&lt;12,OR(C16=1,C16=4))</f>
        <v>1</v>
      </c>
      <c r="E50" s="95"/>
      <c r="F50" s="94"/>
      <c r="G50" s="94"/>
      <c r="H50" s="94"/>
      <c r="I50" s="94"/>
      <c r="J50" s="94"/>
      <c r="K50" s="95"/>
      <c r="L50" s="95"/>
      <c r="M50" s="95"/>
      <c r="N50" s="95"/>
      <c r="O50" s="95"/>
      <c r="P50" s="95"/>
      <c r="Q50" s="137">
        <f ca="1">$Q$45+5</f>
        <v>45360</v>
      </c>
      <c r="R50" s="96"/>
      <c r="S50" s="96"/>
      <c r="T50" s="96"/>
      <c r="U50" s="96"/>
    </row>
    <row r="51" spans="1:21" x14ac:dyDescent="0.25">
      <c r="A51" s="94"/>
      <c r="B51" s="94"/>
      <c r="C51" s="94"/>
      <c r="D51" s="94"/>
      <c r="E51" s="94"/>
      <c r="F51" s="94"/>
      <c r="G51" s="94"/>
      <c r="H51" s="94"/>
      <c r="I51" s="94"/>
      <c r="J51" s="94"/>
      <c r="K51" s="95"/>
      <c r="L51" s="95"/>
      <c r="M51" s="95"/>
      <c r="N51" s="95"/>
      <c r="O51" s="95"/>
      <c r="P51" s="95"/>
      <c r="Q51" s="137">
        <f ca="1">$Q$45+6</f>
        <v>45361</v>
      </c>
      <c r="R51" s="96"/>
      <c r="S51" s="96"/>
      <c r="T51" s="96"/>
      <c r="U51" s="96"/>
    </row>
    <row r="52" spans="1:21" x14ac:dyDescent="0.25">
      <c r="A52" s="94"/>
      <c r="B52" s="94"/>
      <c r="C52" s="94"/>
      <c r="D52" s="94"/>
      <c r="E52" s="94"/>
      <c r="F52" s="94"/>
      <c r="G52" s="94"/>
      <c r="H52" s="94"/>
      <c r="I52" s="94"/>
      <c r="J52" s="94"/>
      <c r="K52" s="95"/>
      <c r="L52" s="95"/>
      <c r="M52" s="95"/>
      <c r="N52" s="95"/>
      <c r="O52" s="95"/>
      <c r="P52" s="95"/>
      <c r="Q52" s="95"/>
      <c r="R52" s="96"/>
      <c r="S52" s="96"/>
      <c r="T52" s="96"/>
      <c r="U52" s="96"/>
    </row>
    <row r="53" spans="1:21" x14ac:dyDescent="0.25">
      <c r="A53" s="94"/>
      <c r="B53" s="94"/>
      <c r="C53" s="94"/>
      <c r="D53" s="94"/>
      <c r="E53" s="94"/>
      <c r="F53" s="94"/>
      <c r="G53" s="94"/>
      <c r="H53" s="94"/>
      <c r="I53" s="94"/>
      <c r="J53" s="94"/>
      <c r="K53" s="95"/>
      <c r="L53" s="95"/>
      <c r="M53" s="95"/>
      <c r="N53" s="95"/>
      <c r="O53" s="95"/>
      <c r="P53" s="95"/>
      <c r="Q53" s="95"/>
      <c r="R53" s="96"/>
      <c r="S53" s="96"/>
      <c r="T53" s="96"/>
      <c r="U53" s="96"/>
    </row>
    <row r="54" spans="1:21" x14ac:dyDescent="0.25">
      <c r="A54" s="94"/>
      <c r="B54" s="94"/>
      <c r="C54" s="94"/>
      <c r="D54" s="94"/>
      <c r="E54" s="94"/>
      <c r="F54" s="94"/>
      <c r="G54" s="94"/>
      <c r="H54" s="94"/>
      <c r="I54" s="94"/>
      <c r="J54" s="94"/>
      <c r="K54" s="95"/>
      <c r="L54" s="95"/>
      <c r="M54" s="95"/>
      <c r="N54" s="95"/>
      <c r="O54" s="95"/>
      <c r="P54" s="95"/>
      <c r="Q54" s="95"/>
      <c r="R54" s="96"/>
      <c r="S54" s="96"/>
      <c r="T54" s="96"/>
      <c r="U54" s="96"/>
    </row>
    <row r="55" spans="1:21" x14ac:dyDescent="0.25">
      <c r="A55" s="94"/>
      <c r="B55" s="94"/>
      <c r="C55" s="94"/>
      <c r="D55" s="94"/>
      <c r="E55" s="94"/>
      <c r="F55" s="94"/>
      <c r="G55" s="94"/>
      <c r="H55" s="94"/>
      <c r="I55" s="94"/>
      <c r="J55" s="94"/>
      <c r="K55" s="95"/>
      <c r="L55" s="95"/>
      <c r="M55" s="95"/>
      <c r="N55" s="95"/>
      <c r="O55" s="95"/>
      <c r="P55" s="95"/>
      <c r="Q55" s="95"/>
      <c r="R55" s="96"/>
      <c r="S55" s="96"/>
      <c r="T55" s="96"/>
      <c r="U55" s="96"/>
    </row>
    <row r="56" spans="1:21" x14ac:dyDescent="0.25">
      <c r="A56" s="94"/>
      <c r="B56" s="94"/>
      <c r="C56" s="94"/>
      <c r="D56" s="94"/>
      <c r="E56" s="94"/>
      <c r="F56" s="94"/>
      <c r="G56" s="94"/>
      <c r="H56" s="94"/>
      <c r="I56" s="94"/>
      <c r="J56" s="94"/>
      <c r="K56" s="95"/>
      <c r="L56" s="95"/>
      <c r="M56" s="95"/>
      <c r="N56" s="95"/>
      <c r="O56" s="95"/>
      <c r="P56" s="95"/>
      <c r="Q56" s="95"/>
      <c r="R56" s="96"/>
      <c r="S56" s="96"/>
      <c r="T56" s="96"/>
      <c r="U56" s="96"/>
    </row>
    <row r="57" spans="1:21" x14ac:dyDescent="0.25">
      <c r="A57" s="94"/>
      <c r="B57" s="94"/>
      <c r="C57" s="94"/>
      <c r="D57" s="94"/>
      <c r="E57" s="94"/>
      <c r="F57" s="94"/>
      <c r="G57" s="94"/>
      <c r="H57" s="94"/>
      <c r="I57" s="94"/>
      <c r="J57" s="94"/>
      <c r="K57" s="95"/>
      <c r="L57" s="95"/>
      <c r="M57" s="95"/>
      <c r="N57" s="95"/>
      <c r="O57" s="95"/>
      <c r="P57" s="95"/>
      <c r="Q57" s="95"/>
      <c r="R57" s="96"/>
      <c r="S57" s="96"/>
      <c r="T57" s="96"/>
      <c r="U57" s="96"/>
    </row>
    <row r="58" spans="1:21" x14ac:dyDescent="0.25">
      <c r="A58" s="94"/>
      <c r="B58" s="94"/>
      <c r="C58" s="94"/>
      <c r="D58" s="94"/>
      <c r="E58" s="94"/>
      <c r="F58" s="94"/>
      <c r="G58" s="94"/>
      <c r="H58" s="94"/>
      <c r="I58" s="94"/>
      <c r="J58" s="94"/>
      <c r="K58" s="95"/>
      <c r="L58" s="95"/>
      <c r="M58" s="95"/>
      <c r="N58" s="95"/>
      <c r="O58" s="95"/>
      <c r="P58" s="95"/>
      <c r="Q58" s="95"/>
      <c r="R58" s="96"/>
      <c r="S58" s="96"/>
      <c r="T58" s="96"/>
      <c r="U58" s="96"/>
    </row>
    <row r="59" spans="1:21" x14ac:dyDescent="0.25">
      <c r="A59" s="94"/>
      <c r="B59" s="94"/>
      <c r="C59" s="94"/>
      <c r="D59" s="94"/>
      <c r="E59" s="94"/>
      <c r="F59" s="94"/>
      <c r="G59" s="94"/>
      <c r="H59" s="94"/>
      <c r="I59" s="94"/>
      <c r="J59" s="95"/>
      <c r="K59" s="95"/>
      <c r="L59" s="95"/>
      <c r="M59" s="95"/>
      <c r="N59" s="95"/>
      <c r="O59" s="95"/>
      <c r="P59" s="95"/>
      <c r="Q59" s="95"/>
      <c r="R59" s="96"/>
      <c r="S59" s="96"/>
      <c r="T59" s="96"/>
      <c r="U59" s="96"/>
    </row>
    <row r="60" spans="1:21" x14ac:dyDescent="0.25">
      <c r="A60" s="94"/>
      <c r="B60" s="94"/>
      <c r="C60" s="94"/>
      <c r="D60" s="94"/>
      <c r="E60" s="94"/>
      <c r="F60" s="94"/>
      <c r="G60" s="94"/>
      <c r="H60" s="94"/>
      <c r="I60" s="94"/>
      <c r="J60" s="95"/>
      <c r="K60" s="95"/>
      <c r="L60" s="95"/>
      <c r="M60" s="95"/>
      <c r="N60" s="95"/>
      <c r="O60" s="95"/>
      <c r="P60" s="95"/>
      <c r="Q60" s="95"/>
      <c r="R60" s="96"/>
      <c r="S60" s="96"/>
      <c r="T60" s="96"/>
      <c r="U60" s="96"/>
    </row>
    <row r="61" spans="1:21" x14ac:dyDescent="0.25">
      <c r="A61" s="96"/>
      <c r="B61" s="95"/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6"/>
      <c r="S61" s="96"/>
      <c r="T61" s="96"/>
      <c r="U61" s="96"/>
    </row>
    <row r="62" spans="1:21" x14ac:dyDescent="0.25">
      <c r="A62" s="96"/>
      <c r="B62" s="95"/>
      <c r="C62" s="95"/>
      <c r="D62" s="95"/>
      <c r="E62" s="95"/>
      <c r="F62" s="95"/>
      <c r="G62" s="95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6"/>
      <c r="S62" s="96"/>
      <c r="T62" s="96"/>
      <c r="U62" s="96"/>
    </row>
    <row r="63" spans="1:21" x14ac:dyDescent="0.25">
      <c r="A63" s="96"/>
      <c r="B63" s="96"/>
      <c r="C63" s="96"/>
      <c r="D63" s="96"/>
      <c r="E63" s="96"/>
      <c r="F63" s="96"/>
      <c r="G63" s="96"/>
      <c r="H63" s="96"/>
      <c r="I63" s="96"/>
      <c r="J63" s="96"/>
      <c r="K63" s="96"/>
      <c r="L63" s="96"/>
      <c r="M63" s="96"/>
      <c r="N63" s="96"/>
      <c r="O63" s="96"/>
      <c r="P63" s="96"/>
      <c r="Q63" s="96"/>
      <c r="R63" s="96"/>
      <c r="S63" s="96"/>
      <c r="T63" s="96"/>
      <c r="U63" s="96"/>
    </row>
    <row r="64" spans="1:21" x14ac:dyDescent="0.25">
      <c r="A64" s="96"/>
      <c r="B64" s="96"/>
      <c r="C64" s="96"/>
      <c r="D64" s="96"/>
      <c r="E64" s="96"/>
      <c r="F64" s="96"/>
      <c r="G64" s="96"/>
      <c r="H64" s="96"/>
      <c r="I64" s="96"/>
      <c r="J64" s="96"/>
      <c r="K64" s="96"/>
      <c r="L64" s="96"/>
      <c r="M64" s="96"/>
      <c r="N64" s="96"/>
      <c r="O64" s="96"/>
      <c r="P64" s="96"/>
      <c r="Q64" s="96"/>
      <c r="R64" s="96"/>
      <c r="S64" s="96"/>
      <c r="T64" s="96"/>
      <c r="U64" s="96"/>
    </row>
  </sheetData>
  <sheetProtection algorithmName="SHA-512" hashValue="AqdNIuBpzQVi1V1CoBFq5n7dywN27gONBx95pbTGkPHkdv9RPu9DsXB6lAw8CV0zIAMeEvZEveqMknCABZVY2Q==" saltValue="z+bNy9I+5KtxveRZCMAE5A==" spinCount="100000" sheet="1" objects="1" scenarios="1"/>
  <mergeCells count="1">
    <mergeCell ref="B7:C8"/>
  </mergeCells>
  <phoneticPr fontId="1" type="noConversion"/>
  <conditionalFormatting sqref="I16">
    <cfRule type="cellIs" dxfId="95" priority="2" operator="equal">
      <formula>"Not Available"</formula>
    </cfRule>
  </conditionalFormatting>
  <conditionalFormatting sqref="H14">
    <cfRule type="cellIs" dxfId="94" priority="1" operator="equal">
      <formula>"Must be Supervised"</formula>
    </cfRule>
  </conditionalFormatting>
  <dataValidations count="1">
    <dataValidation type="whole" allowBlank="1" showInputMessage="1" showErrorMessage="1" error="Only numbers!" prompt="input member ID" sqref="C12" xr:uid="{52C602C3-0F3C-42D0-9A41-A70F508811B1}">
      <formula1>1</formula1>
      <formula2>500</formula2>
    </dataValidation>
  </dataValidations>
  <pageMargins left="0.7" right="0.7" top="0.75" bottom="0.75" header="0.3" footer="0.3"/>
  <pageSetup paperSize="9" orientation="portrait" r:id="rId1"/>
  <ignoredErrors>
    <ignoredError sqref="K15" twoDigitTextYea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Drop Down 2">
              <controlPr defaultSize="0" autoLine="0" autoPict="0">
                <anchor moveWithCells="1">
                  <from>
                    <xdr:col>1</xdr:col>
                    <xdr:colOff>1076325</xdr:colOff>
                    <xdr:row>15</xdr:row>
                    <xdr:rowOff>9525</xdr:rowOff>
                  </from>
                  <to>
                    <xdr:col>3</xdr:col>
                    <xdr:colOff>85725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_Booking">
                <anchor moveWithCells="1" sizeWithCells="1">
                  <from>
                    <xdr:col>15</xdr:col>
                    <xdr:colOff>409575</xdr:colOff>
                    <xdr:row>30</xdr:row>
                    <xdr:rowOff>28575</xdr:rowOff>
                  </from>
                  <to>
                    <xdr:col>16</xdr:col>
                    <xdr:colOff>714375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submit_Click">
                <anchor moveWithCells="1" sizeWithCells="1">
                  <from>
                    <xdr:col>14</xdr:col>
                    <xdr:colOff>76200</xdr:colOff>
                    <xdr:row>30</xdr:row>
                    <xdr:rowOff>28575</xdr:rowOff>
                  </from>
                  <to>
                    <xdr:col>15</xdr:col>
                    <xdr:colOff>276225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Go_home">
                <anchor moveWithCells="1" sizeWithCells="1">
                  <from>
                    <xdr:col>1</xdr:col>
                    <xdr:colOff>114300</xdr:colOff>
                    <xdr:row>30</xdr:row>
                    <xdr:rowOff>28575</xdr:rowOff>
                  </from>
                  <to>
                    <xdr:col>2</xdr:col>
                    <xdr:colOff>47625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go_invoices">
                <anchor moveWithCells="1" sizeWithCells="1">
                  <from>
                    <xdr:col>10</xdr:col>
                    <xdr:colOff>533400</xdr:colOff>
                    <xdr:row>30</xdr:row>
                    <xdr:rowOff>28575</xdr:rowOff>
                  </from>
                  <to>
                    <xdr:col>11</xdr:col>
                    <xdr:colOff>657225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go_members">
                <anchor moveWithCells="1" sizeWithCells="1">
                  <from>
                    <xdr:col>11</xdr:col>
                    <xdr:colOff>762000</xdr:colOff>
                    <xdr:row>30</xdr:row>
                    <xdr:rowOff>28575</xdr:rowOff>
                  </from>
                  <to>
                    <xdr:col>13</xdr:col>
                    <xdr:colOff>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Drop Down 11">
              <controlPr defaultSize="0" autoLine="0" autoPict="0">
                <anchor moveWithCells="1">
                  <from>
                    <xdr:col>5</xdr:col>
                    <xdr:colOff>9525</xdr:colOff>
                    <xdr:row>18</xdr:row>
                    <xdr:rowOff>171450</xdr:rowOff>
                  </from>
                  <to>
                    <xdr:col>6</xdr:col>
                    <xdr:colOff>152400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Drop Down 12">
              <controlPr defaultSize="0" autoLine="0" autoPict="0">
                <anchor moveWithCells="1">
                  <from>
                    <xdr:col>2</xdr:col>
                    <xdr:colOff>66675</xdr:colOff>
                    <xdr:row>18</xdr:row>
                    <xdr:rowOff>171450</xdr:rowOff>
                  </from>
                  <to>
                    <xdr:col>3</xdr:col>
                    <xdr:colOff>161925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2" name="Check Box 14">
              <controlPr locked="0" defaultSize="0" autoFill="0" autoLine="0" autoPict="0" altText="Instructor_x000a_">
                <anchor moveWithCells="1">
                  <from>
                    <xdr:col>2</xdr:col>
                    <xdr:colOff>428625</xdr:colOff>
                    <xdr:row>20</xdr:row>
                    <xdr:rowOff>133350</xdr:rowOff>
                  </from>
                  <to>
                    <xdr:col>3</xdr:col>
                    <xdr:colOff>476250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2" id="{4F2360D8-E062-476A-A7FD-C53B627DA540}">
            <xm:f>COUNTIFS(Invoices!$K$33:$K$286,$L$11,Invoices!$L$33:$L$286,"10:00")</xm:f>
            <x14:dxf>
              <fill>
                <patternFill patternType="lightDown">
                  <fgColor rgb="FF67A97B"/>
                </patternFill>
              </fill>
            </x14:dxf>
          </x14:cfRule>
          <xm:sqref>L13</xm:sqref>
        </x14:conditionalFormatting>
        <x14:conditionalFormatting xmlns:xm="http://schemas.microsoft.com/office/excel/2006/main">
          <x14:cfRule type="expression" priority="283" id="{E066CBEF-7B97-41BD-9BB9-BA2501C38772}">
            <xm:f>COUNTIFS(Invoices!$K$33:$K$286,$L$11,Invoices!$L$33:$L$286,"9:00")</xm:f>
            <x14:dxf>
              <fill>
                <patternFill patternType="lightDown">
                  <fgColor rgb="FF67A97B"/>
                </patternFill>
              </fill>
            </x14:dxf>
          </x14:cfRule>
          <xm:sqref>L12</xm:sqref>
        </x14:conditionalFormatting>
        <x14:conditionalFormatting xmlns:xm="http://schemas.microsoft.com/office/excel/2006/main">
          <x14:cfRule type="expression" priority="284" id="{9103995F-C92B-46FF-AB87-FAFEC0585490}">
            <xm:f>COUNTIFS(Invoices!$K$33:$K$286,$L$11,Invoices!$L$33:$L$286,"11:00")</xm:f>
            <x14:dxf>
              <fill>
                <patternFill patternType="lightDown">
                  <fgColor rgb="FF67A97B"/>
                </patternFill>
              </fill>
            </x14:dxf>
          </x14:cfRule>
          <xm:sqref>L14</xm:sqref>
        </x14:conditionalFormatting>
        <x14:conditionalFormatting xmlns:xm="http://schemas.microsoft.com/office/excel/2006/main">
          <x14:cfRule type="expression" priority="285" id="{9DE17050-4923-4110-B60A-ACC33419CAD0}">
            <xm:f>COUNTIFS(Invoices!$K$33:$K$286,$L$11,Invoices!$L$33:$L$286,"12:00")</xm:f>
            <x14:dxf>
              <fill>
                <patternFill patternType="lightDown">
                  <fgColor rgb="FF67A97B"/>
                </patternFill>
              </fill>
            </x14:dxf>
          </x14:cfRule>
          <xm:sqref>L15</xm:sqref>
        </x14:conditionalFormatting>
        <x14:conditionalFormatting xmlns:xm="http://schemas.microsoft.com/office/excel/2006/main">
          <x14:cfRule type="expression" priority="286" id="{A61C0CD4-E7D2-4F6B-92EB-E103E5AAACED}">
            <xm:f>COUNTIFS(Invoices!$K$33:$K$286,$L$11,Invoices!$L$33:$L$286,"13:00")</xm:f>
            <x14:dxf>
              <fill>
                <patternFill patternType="lightDown">
                  <fgColor rgb="FF67A97B"/>
                </patternFill>
              </fill>
            </x14:dxf>
          </x14:cfRule>
          <xm:sqref>L16</xm:sqref>
        </x14:conditionalFormatting>
        <x14:conditionalFormatting xmlns:xm="http://schemas.microsoft.com/office/excel/2006/main">
          <x14:cfRule type="expression" priority="287" id="{F873BD5D-5586-4BC7-A6A3-411EA3244203}">
            <xm:f>COUNTIFS(Invoices!$K$33:$K$286,$L$11,Invoices!$L$33:$L$286,"14:00")</xm:f>
            <x14:dxf>
              <fill>
                <patternFill patternType="lightDown">
                  <fgColor rgb="FF67A97B"/>
                </patternFill>
              </fill>
            </x14:dxf>
          </x14:cfRule>
          <xm:sqref>L17</xm:sqref>
        </x14:conditionalFormatting>
        <x14:conditionalFormatting xmlns:xm="http://schemas.microsoft.com/office/excel/2006/main">
          <x14:cfRule type="expression" priority="288" id="{C853F60D-F688-4F0B-89E1-E7341B0B6323}">
            <xm:f>COUNTIFS(Invoices!$K$33:$K$286,$L$11,Invoices!$L$33:$L$286,"15:00")</xm:f>
            <x14:dxf>
              <fill>
                <patternFill patternType="lightDown">
                  <fgColor rgb="FF67A97B"/>
                </patternFill>
              </fill>
            </x14:dxf>
          </x14:cfRule>
          <xm:sqref>L18</xm:sqref>
        </x14:conditionalFormatting>
        <x14:conditionalFormatting xmlns:xm="http://schemas.microsoft.com/office/excel/2006/main">
          <x14:cfRule type="expression" priority="289" id="{C3AA5A9C-F80F-49FA-8307-9D8E9950D941}">
            <xm:f>COUNTIFS(Invoices!$K$33:$K$286,$L$11,Invoices!$L$33:$L$286,"16:00")</xm:f>
            <x14:dxf>
              <fill>
                <patternFill patternType="lightDown">
                  <fgColor rgb="FF67A97B"/>
                </patternFill>
              </fill>
            </x14:dxf>
          </x14:cfRule>
          <xm:sqref>L19</xm:sqref>
        </x14:conditionalFormatting>
        <x14:conditionalFormatting xmlns:xm="http://schemas.microsoft.com/office/excel/2006/main">
          <x14:cfRule type="expression" priority="290" id="{812475AF-9116-406C-B3D8-410B88AD4FDF}">
            <xm:f>COUNTIFS(Invoices!$K$33:$K$286,$L$11,Invoices!$L$33:$L$286,"17:00")</xm:f>
            <x14:dxf>
              <fill>
                <patternFill patternType="lightDown">
                  <fgColor rgb="FF67A97B"/>
                </patternFill>
              </fill>
            </x14:dxf>
          </x14:cfRule>
          <xm:sqref>L20</xm:sqref>
        </x14:conditionalFormatting>
        <x14:conditionalFormatting xmlns:xm="http://schemas.microsoft.com/office/excel/2006/main">
          <x14:cfRule type="expression" priority="291" id="{F343DFA3-3175-40EF-B7B0-FBE77DE66531}">
            <xm:f>COUNTIFS(Invoices!$K$33:$K$286,$L$11,Invoices!$L$33:$L$286,"18:00")</xm:f>
            <x14:dxf>
              <fill>
                <patternFill patternType="lightDown">
                  <fgColor rgb="FF67A97B"/>
                </patternFill>
              </fill>
            </x14:dxf>
          </x14:cfRule>
          <xm:sqref>L21</xm:sqref>
        </x14:conditionalFormatting>
        <x14:conditionalFormatting xmlns:xm="http://schemas.microsoft.com/office/excel/2006/main">
          <x14:cfRule type="expression" priority="292" id="{34430A96-FDD0-4AC4-ADAE-C1B60DA5ED08}">
            <xm:f>COUNTIFS(Invoices!$K$33:$K$286,$L$11,Invoices!$L$33:$L$286,"19:00")</xm:f>
            <x14:dxf>
              <fill>
                <patternFill patternType="lightDown">
                  <fgColor rgb="FF67A97B"/>
                </patternFill>
              </fill>
            </x14:dxf>
          </x14:cfRule>
          <xm:sqref>L22</xm:sqref>
        </x14:conditionalFormatting>
        <x14:conditionalFormatting xmlns:xm="http://schemas.microsoft.com/office/excel/2006/main">
          <x14:cfRule type="expression" priority="293" id="{3E89D1D2-DFE3-4A7B-9A9F-DCCF6C756E38}">
            <xm:f>COUNTIFS(Invoices!$K$33:$K$286,$L$11,Invoices!$L$33:$L$286,"20:00")</xm:f>
            <x14:dxf>
              <fill>
                <patternFill patternType="lightDown">
                  <fgColor rgb="FF67A97B"/>
                </patternFill>
              </fill>
            </x14:dxf>
          </x14:cfRule>
          <xm:sqref>L23</xm:sqref>
        </x14:conditionalFormatting>
        <x14:conditionalFormatting xmlns:xm="http://schemas.microsoft.com/office/excel/2006/main">
          <x14:cfRule type="expression" priority="294" id="{D503443A-86A1-4FF7-8D4F-57C35D22599C}">
            <xm:f>COUNTIFS(Invoices!$K$33:$K$286,$L$11,Invoices!$L$33:$L$286,"21:00")</xm:f>
            <x14:dxf>
              <fill>
                <patternFill patternType="lightDown">
                  <fgColor rgb="FF67A97B"/>
                </patternFill>
              </fill>
            </x14:dxf>
          </x14:cfRule>
          <xm:sqref>L24</xm:sqref>
        </x14:conditionalFormatting>
        <x14:conditionalFormatting xmlns:xm="http://schemas.microsoft.com/office/excel/2006/main">
          <x14:cfRule type="expression" priority="295" id="{573D6908-DCB9-45C5-9773-153ECA8542E7}">
            <xm:f>COUNTIFS(Invoices!$K$33:$K$286,$M$11,Invoices!$L$33:$L$286,"9:00")</xm:f>
            <x14:dxf>
              <fill>
                <patternFill patternType="lightDown">
                  <fgColor rgb="FF67A97B"/>
                </patternFill>
              </fill>
            </x14:dxf>
          </x14:cfRule>
          <xm:sqref>M12</xm:sqref>
        </x14:conditionalFormatting>
        <x14:conditionalFormatting xmlns:xm="http://schemas.microsoft.com/office/excel/2006/main">
          <x14:cfRule type="expression" priority="296" id="{A1821B97-57CF-45EE-9C4C-01C7AA4A9A56}">
            <xm:f>COUNTIFS(Invoices!$K$33:$K$286,$M$11,Invoices!$L$33:$L$286,"10:00")</xm:f>
            <x14:dxf>
              <fill>
                <patternFill patternType="lightDown">
                  <fgColor rgb="FF67A97B"/>
                </patternFill>
              </fill>
            </x14:dxf>
          </x14:cfRule>
          <xm:sqref>M13</xm:sqref>
        </x14:conditionalFormatting>
        <x14:conditionalFormatting xmlns:xm="http://schemas.microsoft.com/office/excel/2006/main">
          <x14:cfRule type="expression" priority="297" id="{81AC87B3-B9D5-4B70-B119-2C346FE739F2}">
            <xm:f>COUNTIFS(Invoices!$K$33:$K$286,$M$11,Invoices!$L$33:$L$286,"11:00")</xm:f>
            <x14:dxf>
              <fill>
                <patternFill patternType="lightDown">
                  <fgColor rgb="FF67A97B"/>
                </patternFill>
              </fill>
            </x14:dxf>
          </x14:cfRule>
          <xm:sqref>M14</xm:sqref>
        </x14:conditionalFormatting>
        <x14:conditionalFormatting xmlns:xm="http://schemas.microsoft.com/office/excel/2006/main">
          <x14:cfRule type="expression" priority="298" id="{E8F5A73A-7DEF-4EEF-8D9F-B11986943458}">
            <xm:f>COUNTIFS(Invoices!$K$33:$K$286,$M$11,Invoices!$L$33:$L$286,"12:00")</xm:f>
            <x14:dxf>
              <fill>
                <patternFill patternType="lightDown">
                  <fgColor rgb="FF67A97B"/>
                </patternFill>
              </fill>
            </x14:dxf>
          </x14:cfRule>
          <xm:sqref>M15</xm:sqref>
        </x14:conditionalFormatting>
        <x14:conditionalFormatting xmlns:xm="http://schemas.microsoft.com/office/excel/2006/main">
          <x14:cfRule type="expression" priority="299" id="{D3C45F92-122B-4076-9AF1-1DB4DEAF2AB2}">
            <xm:f>COUNTIFS(Invoices!$K$33:$K$286,$M$11,Invoices!$L$33:$L$286,"13:00")</xm:f>
            <x14:dxf>
              <fill>
                <patternFill patternType="lightDown">
                  <fgColor rgb="FF67A97B"/>
                </patternFill>
              </fill>
            </x14:dxf>
          </x14:cfRule>
          <xm:sqref>M16</xm:sqref>
        </x14:conditionalFormatting>
        <x14:conditionalFormatting xmlns:xm="http://schemas.microsoft.com/office/excel/2006/main">
          <x14:cfRule type="expression" priority="300" id="{F34B903B-050F-489C-830F-0BF93B3B6BEF}">
            <xm:f>COUNTIFS(Invoices!$K$33:$K$286,$M$11,Invoices!$L$33:$L$286,"14:00")</xm:f>
            <x14:dxf>
              <fill>
                <patternFill patternType="lightDown">
                  <fgColor rgb="FF67A97B"/>
                </patternFill>
              </fill>
            </x14:dxf>
          </x14:cfRule>
          <xm:sqref>M17</xm:sqref>
        </x14:conditionalFormatting>
        <x14:conditionalFormatting xmlns:xm="http://schemas.microsoft.com/office/excel/2006/main">
          <x14:cfRule type="expression" priority="301" id="{2E44EB34-93EC-4CD6-A1D2-AE5D5A0313C7}">
            <xm:f>COUNTIFS(Invoices!$K$33:$K$286,$M$11,Invoices!$L$33:$L$286,"15:00")</xm:f>
            <x14:dxf>
              <fill>
                <patternFill patternType="lightDown">
                  <fgColor rgb="FF67A97B"/>
                </patternFill>
              </fill>
            </x14:dxf>
          </x14:cfRule>
          <xm:sqref>M18</xm:sqref>
        </x14:conditionalFormatting>
        <x14:conditionalFormatting xmlns:xm="http://schemas.microsoft.com/office/excel/2006/main">
          <x14:cfRule type="expression" priority="302" id="{8A570637-37F6-4430-9E32-D1F69E81D253}">
            <xm:f>COUNTIFS(Invoices!$K$33:$K$286,$M$11,Invoices!$L$33:$L$286,"16:00")</xm:f>
            <x14:dxf>
              <fill>
                <patternFill patternType="lightDown">
                  <fgColor rgb="FF67A97B"/>
                </patternFill>
              </fill>
            </x14:dxf>
          </x14:cfRule>
          <xm:sqref>M19</xm:sqref>
        </x14:conditionalFormatting>
        <x14:conditionalFormatting xmlns:xm="http://schemas.microsoft.com/office/excel/2006/main">
          <x14:cfRule type="expression" priority="303" id="{E00A9E75-E7D7-40B6-A7C0-334BE91AD07F}">
            <xm:f>COUNTIFS(Invoices!$K$33:$K$286,$M$11,Invoices!$L$33:$L$286,"17:00")</xm:f>
            <x14:dxf>
              <fill>
                <patternFill patternType="lightDown">
                  <fgColor rgb="FF67A97B"/>
                </patternFill>
              </fill>
            </x14:dxf>
          </x14:cfRule>
          <xm:sqref>M20</xm:sqref>
        </x14:conditionalFormatting>
        <x14:conditionalFormatting xmlns:xm="http://schemas.microsoft.com/office/excel/2006/main">
          <x14:cfRule type="expression" priority="304" id="{C02265F0-D453-40B3-AA53-FB423118BDE4}">
            <xm:f>COUNTIFS(Invoices!$K$33:$K$286,$M$11,Invoices!$L$33:$L$286,"18:00")</xm:f>
            <x14:dxf>
              <fill>
                <patternFill patternType="lightDown">
                  <fgColor rgb="FF67A97B"/>
                </patternFill>
              </fill>
            </x14:dxf>
          </x14:cfRule>
          <xm:sqref>M21</xm:sqref>
        </x14:conditionalFormatting>
        <x14:conditionalFormatting xmlns:xm="http://schemas.microsoft.com/office/excel/2006/main">
          <x14:cfRule type="expression" priority="305" id="{D3CD8B8D-4CFF-4481-A602-F21D4DCD19B6}">
            <xm:f>COUNTIFS(Invoices!$K$33:$K$286,$M$11,Invoices!$L$33:$L$286,"19:00")</xm:f>
            <x14:dxf>
              <fill>
                <patternFill patternType="lightDown">
                  <fgColor rgb="FF67A97B"/>
                </patternFill>
              </fill>
            </x14:dxf>
          </x14:cfRule>
          <xm:sqref>M22</xm:sqref>
        </x14:conditionalFormatting>
        <x14:conditionalFormatting xmlns:xm="http://schemas.microsoft.com/office/excel/2006/main">
          <x14:cfRule type="expression" priority="306" id="{E4185672-6DA3-4BFD-92A6-0CA9E3EA637D}">
            <xm:f>COUNTIFS(Invoices!$K$33:$K$286,$M$11,Invoices!$L$33:$L$286,"20:00")</xm:f>
            <x14:dxf>
              <fill>
                <patternFill patternType="lightDown">
                  <fgColor rgb="FF67A97B"/>
                </patternFill>
              </fill>
            </x14:dxf>
          </x14:cfRule>
          <xm:sqref>M23</xm:sqref>
        </x14:conditionalFormatting>
        <x14:conditionalFormatting xmlns:xm="http://schemas.microsoft.com/office/excel/2006/main">
          <x14:cfRule type="expression" priority="307" id="{248C3FF8-A70F-4595-8F4E-4E55EFF5EAC4}">
            <xm:f>COUNTIFS(Invoices!$K$33:$K$286,$M$11,Invoices!$L$33:$L$286,"21:00")</xm:f>
            <x14:dxf>
              <fill>
                <patternFill patternType="lightDown">
                  <fgColor rgb="FF67A97B"/>
                </patternFill>
              </fill>
            </x14:dxf>
          </x14:cfRule>
          <xm:sqref>M24</xm:sqref>
        </x14:conditionalFormatting>
        <x14:conditionalFormatting xmlns:xm="http://schemas.microsoft.com/office/excel/2006/main">
          <x14:cfRule type="expression" priority="308" id="{112DDC6B-0108-405C-A240-360C53B70983}">
            <xm:f>COUNTIFS(Invoices!$K$33:$K$286,$N$11,Invoices!$L$33:$L$286,"9:00")</xm:f>
            <x14:dxf>
              <fill>
                <patternFill patternType="lightDown">
                  <fgColor rgb="FF67A97B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309" id="{24CB9BA6-5B19-4E7E-980C-06BE8C2D7DD3}">
            <xm:f>COUNTIFS(Invoices!$K$33:$K$286,$N$11,Invoices!$L$33:$L$286,"10:00")</xm:f>
            <x14:dxf>
              <fill>
                <patternFill patternType="lightDown">
                  <fgColor rgb="FF67A97B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310" id="{1F7C1D6B-D585-4C5F-A9CF-0841B8EB29A8}">
            <xm:f>COUNTIFS(Invoices!$K$33:$K$286,$N$11,Invoices!$L$33:$L$286,"11:00")</xm:f>
            <x14:dxf>
              <fill>
                <patternFill patternType="lightDown">
                  <fgColor rgb="FF67A97B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311" id="{2B4E0229-88FB-4AE5-BC7B-8D8A9CF120A7}">
            <xm:f>COUNTIFS(Invoices!$K$33:$K$286,$N$11,Invoices!$L$33:$L$286,"12:00")</xm:f>
            <x14:dxf>
              <fill>
                <patternFill patternType="lightDown">
                  <fgColor rgb="FF67A97B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312" id="{2DC97D5E-2ADC-44A6-B9D0-0888219AADC2}">
            <xm:f>COUNTIFS(Invoices!$K$33:$K$286,$N$11,Invoices!$L$33:$L$286,"13:00")</xm:f>
            <x14:dxf>
              <fill>
                <patternFill patternType="lightDown">
                  <fgColor rgb="FF67A97B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313" id="{DF66E52B-DA49-4235-8A2B-AF516DD08431}">
            <xm:f>COUNTIFS(Invoices!$K$33:$K$286,$N$11,Invoices!$L$33:$L$286,"14:00")</xm:f>
            <x14:dxf>
              <fill>
                <patternFill patternType="lightDown">
                  <fgColor rgb="FF67A97B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314" id="{871EF2F5-11B2-46A3-A2EA-A1A3EB1D75DD}">
            <xm:f>COUNTIFS(Invoices!$K$33:$K$286,$N$11,Invoices!$L$33:$L$286,"15:00")</xm:f>
            <x14:dxf>
              <fill>
                <patternFill patternType="lightDown">
                  <fgColor rgb="FF67A97B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315" id="{2F741F77-B05F-489B-B692-E02872EA5CCC}">
            <xm:f>COUNTIFS(Invoices!$K$33:$K$286,$N$11,Invoices!$L$33:$L$286,"16:00")</xm:f>
            <x14:dxf>
              <fill>
                <patternFill patternType="lightDown">
                  <fgColor rgb="FF67A97B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316" id="{77E22A74-748D-49BE-BDA5-8F6D38DE82D2}">
            <xm:f>COUNTIFS(Invoices!$K$33:$K$286,$N$11,Invoices!$L$33:$L$286,"17:00")</xm:f>
            <x14:dxf>
              <fill>
                <patternFill patternType="lightDown">
                  <fgColor rgb="FF67A97B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317" id="{5816C0E0-F33F-4776-81D6-C1C00B385A22}">
            <xm:f>COUNTIFS(Invoices!$K$33:$K$286,$N$11,Invoices!$L$33:$L$286,"18:00")</xm:f>
            <x14:dxf>
              <fill>
                <patternFill patternType="lightDown">
                  <fgColor rgb="FF67A97B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318" id="{D2EFDEB8-DB5B-494A-8484-143C3681D730}">
            <xm:f>COUNTIFS(Invoices!$K$33:$K$286,$N$11,Invoices!$L$33:$L$286,"19:00")</xm:f>
            <x14:dxf>
              <fill>
                <patternFill patternType="lightDown">
                  <fgColor rgb="FF67A97B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319" id="{C4BF8260-ADA6-4F27-AE85-D2A7E6B71F31}">
            <xm:f>COUNTIFS(Invoices!$K$33:$K$286,$N$11,Invoices!$L$33:$L$286,"20:00")</xm:f>
            <x14:dxf>
              <fill>
                <patternFill patternType="lightDown">
                  <fgColor rgb="FF67A97B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320" id="{28E36B23-5A27-46E2-8362-B6918F510A90}">
            <xm:f>COUNTIFS(Invoices!$K$33:$K$286,$N$11,Invoices!$L$33:$L$286,"21:00")</xm:f>
            <x14:dxf>
              <fill>
                <patternFill patternType="lightDown">
                  <fgColor rgb="FF67A97B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321" id="{E77882E0-3A94-436C-A875-D534C071784A}">
            <xm:f>COUNTIFS(Invoices!$K$33:$K$286,$O$11,Invoices!$L$33:$L$286,"9:00")</xm:f>
            <x14:dxf>
              <fill>
                <patternFill patternType="lightDown">
                  <fgColor rgb="FF67A97B"/>
                </patternFill>
              </fill>
            </x14:dxf>
          </x14:cfRule>
          <xm:sqref>O12</xm:sqref>
        </x14:conditionalFormatting>
        <x14:conditionalFormatting xmlns:xm="http://schemas.microsoft.com/office/excel/2006/main">
          <x14:cfRule type="expression" priority="322" id="{0BC8DF10-4A89-4830-912E-70FFA47D7A47}">
            <xm:f>COUNTIFS(Invoices!$K$33:$K$286,$O$11,Invoices!$L$33:$L$286,"10:00")</xm:f>
            <x14:dxf>
              <fill>
                <patternFill patternType="lightDown">
                  <fgColor rgb="FF67A97B"/>
                </patternFill>
              </fill>
            </x14:dxf>
          </x14:cfRule>
          <xm:sqref>O13</xm:sqref>
        </x14:conditionalFormatting>
        <x14:conditionalFormatting xmlns:xm="http://schemas.microsoft.com/office/excel/2006/main">
          <x14:cfRule type="expression" priority="323" id="{D710899B-7073-4666-8B7C-7521B5F94185}">
            <xm:f>COUNTIFS(Invoices!$K$33:$K$286,$O$11,Invoices!$L$33:$L$286,"11:00")</xm:f>
            <x14:dxf>
              <fill>
                <patternFill patternType="lightDown">
                  <fgColor rgb="FF67A97B"/>
                </patternFill>
              </fill>
            </x14:dxf>
          </x14:cfRule>
          <xm:sqref>O14</xm:sqref>
        </x14:conditionalFormatting>
        <x14:conditionalFormatting xmlns:xm="http://schemas.microsoft.com/office/excel/2006/main">
          <x14:cfRule type="expression" priority="324" id="{ACA65196-3712-46F5-B27F-86CD88A8715A}">
            <xm:f>COUNTIFS(Invoices!$K$33:$K$286,$O$11,Invoices!$L$33:$L$286,"12:00")</xm:f>
            <x14:dxf>
              <fill>
                <patternFill patternType="lightDown">
                  <fgColor rgb="FF67A97B"/>
                </patternFill>
              </fill>
            </x14:dxf>
          </x14:cfRule>
          <xm:sqref>O15</xm:sqref>
        </x14:conditionalFormatting>
        <x14:conditionalFormatting xmlns:xm="http://schemas.microsoft.com/office/excel/2006/main">
          <x14:cfRule type="expression" priority="325" id="{5CC98F8B-9EDD-42C3-9578-8AA9D2232242}">
            <xm:f>COUNTIFS(Invoices!$K$33:$K$286,$O$11,Invoices!$L$33:$L$286,"13:00")</xm:f>
            <x14:dxf>
              <fill>
                <patternFill patternType="lightDown">
                  <fgColor rgb="FF67A97B"/>
                </patternFill>
              </fill>
            </x14:dxf>
          </x14:cfRule>
          <xm:sqref>O16</xm:sqref>
        </x14:conditionalFormatting>
        <x14:conditionalFormatting xmlns:xm="http://schemas.microsoft.com/office/excel/2006/main">
          <x14:cfRule type="expression" priority="326" id="{CDD97312-4E1C-4A17-A884-5E7B8D2895B2}">
            <xm:f>COUNTIFS(Invoices!$K$33:$K$286,$O$11,Invoices!$L$33:$L$286,"14:00")</xm:f>
            <x14:dxf>
              <fill>
                <patternFill patternType="lightDown">
                  <fgColor rgb="FF67A97B"/>
                </patternFill>
              </fill>
            </x14:dxf>
          </x14:cfRule>
          <xm:sqref>O17</xm:sqref>
        </x14:conditionalFormatting>
        <x14:conditionalFormatting xmlns:xm="http://schemas.microsoft.com/office/excel/2006/main">
          <x14:cfRule type="expression" priority="327" id="{8918A8D9-4C53-458C-BF0E-F17F561602E7}">
            <xm:f>COUNTIFS(Invoices!$K$33:$K$286,$O$11,Invoices!$L$33:$L$286,"15:00")</xm:f>
            <x14:dxf>
              <fill>
                <patternFill patternType="lightDown">
                  <fgColor rgb="FF67A97B"/>
                </patternFill>
              </fill>
            </x14:dxf>
          </x14:cfRule>
          <xm:sqref>O18</xm:sqref>
        </x14:conditionalFormatting>
        <x14:conditionalFormatting xmlns:xm="http://schemas.microsoft.com/office/excel/2006/main">
          <x14:cfRule type="expression" priority="328" id="{4371CA11-E025-4036-9C09-C8C7D30B7B80}">
            <xm:f>COUNTIFS(Invoices!$K$33:$K$286,$O$11,Invoices!$L$33:$L$286,"16:00")</xm:f>
            <x14:dxf>
              <fill>
                <patternFill patternType="lightDown">
                  <fgColor rgb="FF67A97B"/>
                </patternFill>
              </fill>
            </x14:dxf>
          </x14:cfRule>
          <xm:sqref>O19</xm:sqref>
        </x14:conditionalFormatting>
        <x14:conditionalFormatting xmlns:xm="http://schemas.microsoft.com/office/excel/2006/main">
          <x14:cfRule type="expression" priority="329" id="{61525358-96BE-42C1-B625-908614B0FD78}">
            <xm:f>COUNTIFS(Invoices!$K$33:$K$286,$O$11,Invoices!$L$33:$L$286,"17:00")</xm:f>
            <x14:dxf>
              <fill>
                <patternFill patternType="lightDown">
                  <fgColor rgb="FF67A97B"/>
                </patternFill>
              </fill>
            </x14:dxf>
          </x14:cfRule>
          <xm:sqref>O20</xm:sqref>
        </x14:conditionalFormatting>
        <x14:conditionalFormatting xmlns:xm="http://schemas.microsoft.com/office/excel/2006/main">
          <x14:cfRule type="expression" priority="330" id="{4D11FB95-CF0B-4B63-959D-69B2A6C67DC4}">
            <xm:f>COUNTIFS(Invoices!$K$33:$K$286,$O$11,Invoices!$L$33:$L$286,"18:00")</xm:f>
            <x14:dxf>
              <fill>
                <patternFill patternType="lightDown">
                  <fgColor rgb="FF67A97B"/>
                </patternFill>
              </fill>
            </x14:dxf>
          </x14:cfRule>
          <xm:sqref>O21</xm:sqref>
        </x14:conditionalFormatting>
        <x14:conditionalFormatting xmlns:xm="http://schemas.microsoft.com/office/excel/2006/main">
          <x14:cfRule type="expression" priority="331" id="{223A02D5-0604-432A-9ECC-5AF6522057B9}">
            <xm:f>COUNTIFS(Invoices!$K$33:$K$286,$O$11,Invoices!$L$33:$L$286,"19:00")</xm:f>
            <x14:dxf>
              <fill>
                <patternFill patternType="lightDown">
                  <fgColor rgb="FF67A97B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expression" priority="332" id="{F7B9FF0A-3EBF-4D7F-BEB0-ADBA0AB232A5}">
            <xm:f>COUNTIFS(Invoices!$K$33:$K$286,$O$11,Invoices!$L$33:$L$286,"20:00")</xm:f>
            <x14:dxf>
              <fill>
                <patternFill patternType="lightDown">
                  <fgColor rgb="FF67A97B"/>
                </patternFill>
              </fill>
            </x14:dxf>
          </x14:cfRule>
          <xm:sqref>O23</xm:sqref>
        </x14:conditionalFormatting>
        <x14:conditionalFormatting xmlns:xm="http://schemas.microsoft.com/office/excel/2006/main">
          <x14:cfRule type="expression" priority="333" id="{3DF19E8C-E41A-4547-B26E-7415EB5F06B4}">
            <xm:f>COUNTIFS(Invoices!$K$33:$K$286,$O$11,Invoices!$L$33:$L$286,"21:00")</xm:f>
            <x14:dxf>
              <fill>
                <patternFill patternType="lightDown">
                  <fgColor rgb="FF67A97B"/>
                </patternFill>
              </fill>
            </x14:dxf>
          </x14:cfRule>
          <xm:sqref>O24</xm:sqref>
        </x14:conditionalFormatting>
        <x14:conditionalFormatting xmlns:xm="http://schemas.microsoft.com/office/excel/2006/main">
          <x14:cfRule type="expression" priority="334" id="{9E81BDF2-37D8-4108-8CAE-912255146C12}">
            <xm:f>COUNTIFS(Invoices!$K$33:$K$286,$P$11,Invoices!$L$33:$L$286,"9:00")</xm:f>
            <x14:dxf>
              <fill>
                <patternFill patternType="lightDown">
                  <fgColor rgb="FF67A97B"/>
                </patternFill>
              </fill>
            </x14:dxf>
          </x14:cfRule>
          <xm:sqref>P12</xm:sqref>
        </x14:conditionalFormatting>
        <x14:conditionalFormatting xmlns:xm="http://schemas.microsoft.com/office/excel/2006/main">
          <x14:cfRule type="expression" priority="335" id="{B8174E00-3702-4CE3-90C8-4DF2028185D1}">
            <xm:f>COUNTIFS(Invoices!$K$33:$K$286,$P$11,Invoices!$L$33:$L$286,"10:00")</xm:f>
            <x14:dxf>
              <fill>
                <patternFill patternType="lightDown">
                  <fgColor rgb="FF67A97B"/>
                </patternFill>
              </fill>
            </x14:dxf>
          </x14:cfRule>
          <xm:sqref>P13</xm:sqref>
        </x14:conditionalFormatting>
        <x14:conditionalFormatting xmlns:xm="http://schemas.microsoft.com/office/excel/2006/main">
          <x14:cfRule type="expression" priority="336" id="{D19F8702-F6AF-4F98-9F74-8F9EF5B5FCA8}">
            <xm:f>COUNTIFS(Invoices!$K$33:$K$286,$P$11,Invoices!$L$33:$L$286,"11:00")</xm:f>
            <x14:dxf>
              <fill>
                <patternFill patternType="lightDown">
                  <fgColor rgb="FF67A97B"/>
                </patternFill>
              </fill>
            </x14:dxf>
          </x14:cfRule>
          <xm:sqref>P14</xm:sqref>
        </x14:conditionalFormatting>
        <x14:conditionalFormatting xmlns:xm="http://schemas.microsoft.com/office/excel/2006/main">
          <x14:cfRule type="expression" priority="337" id="{AABB8D6E-62A0-4464-ACA2-AA9A4C1722E0}">
            <xm:f>COUNTIFS(Invoices!$K$33:$K$286,$P$11,Invoices!$L$33:$L$286,"12:00")</xm:f>
            <x14:dxf>
              <fill>
                <patternFill patternType="lightDown">
                  <fgColor rgb="FF67A97B"/>
                </patternFill>
              </fill>
            </x14:dxf>
          </x14:cfRule>
          <xm:sqref>P15</xm:sqref>
        </x14:conditionalFormatting>
        <x14:conditionalFormatting xmlns:xm="http://schemas.microsoft.com/office/excel/2006/main">
          <x14:cfRule type="expression" priority="338" id="{53C2135B-31A7-4D91-B1CC-6A7B9438E113}">
            <xm:f>COUNTIFS(Invoices!$K$33:$K$286,$P$11,Invoices!$L$33:$L$286,"13:00")</xm:f>
            <x14:dxf>
              <fill>
                <patternFill patternType="lightDown">
                  <fgColor rgb="FF67A97B"/>
                </patternFill>
              </fill>
            </x14:dxf>
          </x14:cfRule>
          <xm:sqref>P16</xm:sqref>
        </x14:conditionalFormatting>
        <x14:conditionalFormatting xmlns:xm="http://schemas.microsoft.com/office/excel/2006/main">
          <x14:cfRule type="expression" priority="339" id="{47FD4D15-E3D5-4E62-AB36-9F1AC8955A5D}">
            <xm:f>COUNTIFS(Invoices!$K$33:$K$286,$P$11,Invoices!$L$33:$L$286,"14:00")</xm:f>
            <x14:dxf>
              <fill>
                <patternFill patternType="lightDown">
                  <fgColor rgb="FF67A97B"/>
                </patternFill>
              </fill>
            </x14:dxf>
          </x14:cfRule>
          <xm:sqref>P17</xm:sqref>
        </x14:conditionalFormatting>
        <x14:conditionalFormatting xmlns:xm="http://schemas.microsoft.com/office/excel/2006/main">
          <x14:cfRule type="expression" priority="340" id="{429D46A3-3B91-4130-9C56-F701F4B03D69}">
            <xm:f>COUNTIFS(Invoices!$K$33:$K$286,$P$11,Invoices!$L$33:$L$286,"15:00")</xm:f>
            <x14:dxf>
              <fill>
                <patternFill patternType="lightDown">
                  <fgColor rgb="FF67A97B"/>
                </patternFill>
              </fill>
            </x14:dxf>
          </x14:cfRule>
          <xm:sqref>P18</xm:sqref>
        </x14:conditionalFormatting>
        <x14:conditionalFormatting xmlns:xm="http://schemas.microsoft.com/office/excel/2006/main">
          <x14:cfRule type="expression" priority="341" id="{7949484F-244D-4C9F-AC7D-9F396C997705}">
            <xm:f>COUNTIFS(Invoices!$K$33:$K$286,$P$11,Invoices!$L$33:$L$286,"16:00")</xm:f>
            <x14:dxf>
              <fill>
                <patternFill patternType="lightDown">
                  <fgColor rgb="FF67A97B"/>
                </patternFill>
              </fill>
            </x14:dxf>
          </x14:cfRule>
          <xm:sqref>P19</xm:sqref>
        </x14:conditionalFormatting>
        <x14:conditionalFormatting xmlns:xm="http://schemas.microsoft.com/office/excel/2006/main">
          <x14:cfRule type="expression" priority="342" id="{C9570A50-0D6C-41C6-B58D-5879C0CBC24D}">
            <xm:f>COUNTIFS(Invoices!$K$33:$K$286,$P$11,Invoices!$L$33:$L$286,"17:00")</xm:f>
            <x14:dxf>
              <fill>
                <patternFill patternType="lightDown">
                  <fgColor rgb="FF67A97B"/>
                </patternFill>
              </fill>
            </x14:dxf>
          </x14:cfRule>
          <xm:sqref>P20</xm:sqref>
        </x14:conditionalFormatting>
        <x14:conditionalFormatting xmlns:xm="http://schemas.microsoft.com/office/excel/2006/main">
          <x14:cfRule type="expression" priority="343" id="{D4509F77-93CB-4895-B892-681A56A58045}">
            <xm:f>COUNTIFS(Invoices!$K$33:$K$286,$P$11,Invoices!$L$33:$L$286,"18:00")</xm:f>
            <x14:dxf>
              <fill>
                <patternFill patternType="lightDown">
                  <fgColor rgb="FF67A97B"/>
                </patternFill>
              </fill>
            </x14:dxf>
          </x14:cfRule>
          <xm:sqref>P21</xm:sqref>
        </x14:conditionalFormatting>
        <x14:conditionalFormatting xmlns:xm="http://schemas.microsoft.com/office/excel/2006/main">
          <x14:cfRule type="expression" priority="344" id="{D7BEFF63-5E15-425F-84F4-F93B734CA75C}">
            <xm:f>COUNTIFS(Invoices!$K$33:$K$286,$P$11,Invoices!$L$33:$L$286,"19:00")</xm:f>
            <x14:dxf>
              <fill>
                <patternFill patternType="lightDown">
                  <fgColor rgb="FF67A97B"/>
                </patternFill>
              </fill>
            </x14:dxf>
          </x14:cfRule>
          <xm:sqref>P22</xm:sqref>
        </x14:conditionalFormatting>
        <x14:conditionalFormatting xmlns:xm="http://schemas.microsoft.com/office/excel/2006/main">
          <x14:cfRule type="expression" priority="345" id="{18D6E6EC-C6D9-450F-8976-F12F2451FFB8}">
            <xm:f>COUNTIFS(Invoices!$K$33:$K$286,$P$11,Invoices!$L$33:$L$286,"20:00")</xm:f>
            <x14:dxf>
              <fill>
                <patternFill patternType="lightDown">
                  <fgColor rgb="FF67A97B"/>
                </patternFill>
              </fill>
            </x14:dxf>
          </x14:cfRule>
          <xm:sqref>P23</xm:sqref>
        </x14:conditionalFormatting>
        <x14:conditionalFormatting xmlns:xm="http://schemas.microsoft.com/office/excel/2006/main">
          <x14:cfRule type="expression" priority="346" id="{A6AF7989-64A4-45DD-A482-569F378CE931}">
            <xm:f>COUNTIFS(Invoices!$K$33:$K$286,$P$11,Invoices!$L$33:$L$286,"21:00")</xm:f>
            <x14:dxf>
              <fill>
                <patternFill patternType="lightDown">
                  <fgColor rgb="FF67A97B"/>
                </patternFill>
              </fill>
            </x14:dxf>
          </x14:cfRule>
          <xm:sqref>P24</xm:sqref>
        </x14:conditionalFormatting>
        <x14:conditionalFormatting xmlns:xm="http://schemas.microsoft.com/office/excel/2006/main">
          <x14:cfRule type="expression" priority="347" id="{980F0173-8E56-4890-99FD-ED54FA24EDE7}">
            <xm:f>COUNTIFS(Invoices!$K$33:$K$286,$Q$11,Invoices!$L$33:$L$286,"9:00")</xm:f>
            <x14:dxf>
              <fill>
                <patternFill patternType="lightDown">
                  <fgColor rgb="FF67A97B"/>
                </patternFill>
              </fill>
            </x14:dxf>
          </x14:cfRule>
          <xm:sqref>Q12</xm:sqref>
        </x14:conditionalFormatting>
        <x14:conditionalFormatting xmlns:xm="http://schemas.microsoft.com/office/excel/2006/main">
          <x14:cfRule type="expression" priority="348" id="{63956A0B-1298-4E12-B191-34923AC259B6}">
            <xm:f>COUNTIFS(Invoices!$K$33:$K$286,$Q$11,Invoices!$L$33:$L$286,"10:00")</xm:f>
            <x14:dxf>
              <fill>
                <patternFill patternType="lightDown">
                  <fgColor rgb="FF67A97B"/>
                </patternFill>
              </fill>
            </x14:dxf>
          </x14:cfRule>
          <xm:sqref>Q13</xm:sqref>
        </x14:conditionalFormatting>
        <x14:conditionalFormatting xmlns:xm="http://schemas.microsoft.com/office/excel/2006/main">
          <x14:cfRule type="expression" priority="349" id="{1ABC874A-F1C5-4CCC-BCE3-A8DC4F35ACCE}">
            <xm:f>COUNTIFS(Invoices!$K$33:$K$286,$Q$11,Invoices!$L$33:$L$286,"11:00")</xm:f>
            <x14:dxf>
              <fill>
                <patternFill patternType="lightDown">
                  <fgColor rgb="FF67A97B"/>
                </patternFill>
              </fill>
            </x14:dxf>
          </x14:cfRule>
          <xm:sqref>Q14</xm:sqref>
        </x14:conditionalFormatting>
        <x14:conditionalFormatting xmlns:xm="http://schemas.microsoft.com/office/excel/2006/main">
          <x14:cfRule type="expression" priority="350" id="{0F6A1AAD-4083-48BB-AC07-F77D3E0D4C72}">
            <xm:f>COUNTIFS(Invoices!$K$33:$K$286,$Q$11,Invoices!$L$33:$L$286,"12:00")</xm:f>
            <x14:dxf>
              <fill>
                <patternFill patternType="lightDown">
                  <fgColor rgb="FF67A97B"/>
                </patternFill>
              </fill>
            </x14:dxf>
          </x14:cfRule>
          <xm:sqref>Q15</xm:sqref>
        </x14:conditionalFormatting>
        <x14:conditionalFormatting xmlns:xm="http://schemas.microsoft.com/office/excel/2006/main">
          <x14:cfRule type="expression" priority="351" id="{9FEBE00E-37D0-424A-9D40-34A15E56D5DE}">
            <xm:f>COUNTIFS(Invoices!$K$33:$K$286,$Q$11,Invoices!$L$33:$L$286,"13:00")</xm:f>
            <x14:dxf>
              <fill>
                <patternFill patternType="lightDown">
                  <fgColor rgb="FF67A97B"/>
                </patternFill>
              </fill>
            </x14:dxf>
          </x14:cfRule>
          <xm:sqref>Q16</xm:sqref>
        </x14:conditionalFormatting>
        <x14:conditionalFormatting xmlns:xm="http://schemas.microsoft.com/office/excel/2006/main">
          <x14:cfRule type="expression" priority="352" id="{C8C480F9-23E5-4797-B4E7-455DC1228DAB}">
            <xm:f>COUNTIFS(Invoices!$K$33:$K$286,$Q$11,Invoices!$L$33:$L$286,"14:00")</xm:f>
            <x14:dxf>
              <fill>
                <patternFill patternType="lightDown">
                  <fgColor rgb="FF67A97B"/>
                </patternFill>
              </fill>
            </x14:dxf>
          </x14:cfRule>
          <xm:sqref>Q17</xm:sqref>
        </x14:conditionalFormatting>
        <x14:conditionalFormatting xmlns:xm="http://schemas.microsoft.com/office/excel/2006/main">
          <x14:cfRule type="expression" priority="353" id="{88AC249D-BF2C-430E-972C-EAE75E071000}">
            <xm:f>COUNTIFS(Invoices!$K$33:$K$286,$Q$11,Invoices!$L$33:$L$286,"15:00")</xm:f>
            <x14:dxf>
              <fill>
                <patternFill patternType="lightDown">
                  <fgColor rgb="FF67A97B"/>
                </patternFill>
              </fill>
            </x14:dxf>
          </x14:cfRule>
          <xm:sqref>Q18</xm:sqref>
        </x14:conditionalFormatting>
        <x14:conditionalFormatting xmlns:xm="http://schemas.microsoft.com/office/excel/2006/main">
          <x14:cfRule type="expression" priority="354" id="{41FD8521-82FB-4A9D-BACD-AD0701E1D439}">
            <xm:f>COUNTIFS(Invoices!$K$33:$K$286,$Q$11,Invoices!$L$33:$L$286,"16:00")</xm:f>
            <x14:dxf>
              <fill>
                <patternFill patternType="lightDown">
                  <fgColor rgb="FF67A97B"/>
                </patternFill>
              </fill>
            </x14:dxf>
          </x14:cfRule>
          <xm:sqref>Q19</xm:sqref>
        </x14:conditionalFormatting>
        <x14:conditionalFormatting xmlns:xm="http://schemas.microsoft.com/office/excel/2006/main">
          <x14:cfRule type="expression" priority="355" id="{37DB0B36-6B21-484D-B2B6-608715B89E69}">
            <xm:f>COUNTIFS(Invoices!$K$33:$K$286,$Q$11,Invoices!$L$33:$L$286,"17:00")</xm:f>
            <x14:dxf>
              <fill>
                <patternFill patternType="lightDown">
                  <fgColor rgb="FF67A97B"/>
                </patternFill>
              </fill>
            </x14:dxf>
          </x14:cfRule>
          <xm:sqref>Q20</xm:sqref>
        </x14:conditionalFormatting>
        <x14:conditionalFormatting xmlns:xm="http://schemas.microsoft.com/office/excel/2006/main">
          <x14:cfRule type="expression" priority="356" id="{706F92F5-3496-4455-9C46-9F27E3AEF30A}">
            <xm:f>COUNTIFS(Invoices!$K$33:$K$286,$Q$11,Invoices!$L$33:$L$286,"18:00")</xm:f>
            <x14:dxf>
              <fill>
                <patternFill patternType="lightDown">
                  <fgColor rgb="FF67A97B"/>
                </patternFill>
              </fill>
            </x14:dxf>
          </x14:cfRule>
          <xm:sqref>Q21</xm:sqref>
        </x14:conditionalFormatting>
        <x14:conditionalFormatting xmlns:xm="http://schemas.microsoft.com/office/excel/2006/main">
          <x14:cfRule type="expression" priority="357" id="{025F71F6-F0FB-4F92-87AF-7E986A9E4122}">
            <xm:f>COUNTIFS(Invoices!$K$33:$K$286,$Q$11,Invoices!$L$33:$L$286,"19:00")</xm:f>
            <x14:dxf>
              <fill>
                <patternFill patternType="lightDown">
                  <fgColor rgb="FF67A97B"/>
                </patternFill>
              </fill>
            </x14:dxf>
          </x14:cfRule>
          <xm:sqref>Q22</xm:sqref>
        </x14:conditionalFormatting>
        <x14:conditionalFormatting xmlns:xm="http://schemas.microsoft.com/office/excel/2006/main">
          <x14:cfRule type="expression" priority="358" id="{7E7A1E99-9C1F-480E-B633-0F99A8A002B8}">
            <xm:f>COUNTIFS(Invoices!$K$33:$K$286,$Q$11,Invoices!$L$33:$L$286,"20:00")</xm:f>
            <x14:dxf>
              <fill>
                <patternFill patternType="lightDown">
                  <fgColor rgb="FF67A97B"/>
                </patternFill>
              </fill>
            </x14:dxf>
          </x14:cfRule>
          <xm:sqref>Q23</xm:sqref>
        </x14:conditionalFormatting>
        <x14:conditionalFormatting xmlns:xm="http://schemas.microsoft.com/office/excel/2006/main">
          <x14:cfRule type="expression" priority="359" id="{6F7A51CF-1123-4734-833B-E66860AA50A5}">
            <xm:f>COUNTIFS(Invoices!$K$33:$K$286,$Q$11,Invoices!$L$33:$L$286,"21:00")</xm:f>
            <x14:dxf>
              <fill>
                <patternFill patternType="lightDown">
                  <fgColor rgb="FF67A97B"/>
                </patternFill>
              </fill>
            </x14:dxf>
          </x14:cfRule>
          <xm:sqref>Q24</xm:sqref>
        </x14:conditionalFormatting>
        <x14:conditionalFormatting xmlns:xm="http://schemas.microsoft.com/office/excel/2006/main">
          <x14:cfRule type="expression" priority="360" id="{043C1F47-992B-465B-AE92-E749ECA38027}">
            <xm:f>COUNTIFS(Invoices!$K$33:$K$286,$R$11,Invoices!$L$33:$L$286,"9:00")</xm:f>
            <x14:dxf>
              <fill>
                <patternFill patternType="lightDown">
                  <fgColor rgb="FF67A97B"/>
                </patternFill>
              </fill>
            </x14:dxf>
          </x14:cfRule>
          <xm:sqref>R12</xm:sqref>
        </x14:conditionalFormatting>
        <x14:conditionalFormatting xmlns:xm="http://schemas.microsoft.com/office/excel/2006/main">
          <x14:cfRule type="expression" priority="361" id="{73EF557E-E5C9-4171-9829-9C05772A1C47}">
            <xm:f>COUNTIFS(Invoices!$K$33:$K$286,$R$11,Invoices!$L$33:$L$286,"10:00")</xm:f>
            <x14:dxf>
              <fill>
                <patternFill patternType="lightDown">
                  <fgColor rgb="FF67A97B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expression" priority="362" id="{E586EB18-6A95-4AA4-AF99-712365A26E40}">
            <xm:f>COUNTIFS(Invoices!$K$33:$K$286,$R$11,Invoices!$L$33:$L$286,"11:00")</xm:f>
            <x14:dxf>
              <fill>
                <patternFill patternType="lightDown">
                  <fgColor rgb="FF67A97B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expression" priority="363" id="{6E352900-A0C6-46EB-A202-8C571DF1AF6E}">
            <xm:f>COUNTIFS(Invoices!$K$33:$K$286,$R$11,Invoices!$L$33:$L$286,"12:00")</xm:f>
            <x14:dxf>
              <fill>
                <patternFill patternType="lightDown">
                  <fgColor rgb="FF67A97B"/>
                </patternFill>
              </fill>
            </x14:dxf>
          </x14:cfRule>
          <xm:sqref>R15</xm:sqref>
        </x14:conditionalFormatting>
        <x14:conditionalFormatting xmlns:xm="http://schemas.microsoft.com/office/excel/2006/main">
          <x14:cfRule type="expression" priority="364" id="{0747D925-EA15-4C71-97F6-70FFC79B3EEF}">
            <xm:f>COUNTIFS(Invoices!$K$33:$K$286,$R$11,Invoices!$L$33:$L$286,"13:00")</xm:f>
            <x14:dxf>
              <fill>
                <patternFill patternType="lightDown">
                  <fgColor rgb="FF67A97B"/>
                </patternFill>
              </fill>
            </x14:dxf>
          </x14:cfRule>
          <xm:sqref>R16</xm:sqref>
        </x14:conditionalFormatting>
        <x14:conditionalFormatting xmlns:xm="http://schemas.microsoft.com/office/excel/2006/main">
          <x14:cfRule type="expression" priority="365" id="{A4DCAAB2-8F37-4FCA-B7D2-C4FA6B822484}">
            <xm:f>COUNTIFS(Invoices!$K$33:$K$286,$R$11,Invoices!$L$33:$L$286,"14:00")</xm:f>
            <x14:dxf>
              <fill>
                <patternFill patternType="lightDown">
                  <fgColor rgb="FF67A97B"/>
                </patternFill>
              </fill>
            </x14:dxf>
          </x14:cfRule>
          <xm:sqref>R17</xm:sqref>
        </x14:conditionalFormatting>
        <x14:conditionalFormatting xmlns:xm="http://schemas.microsoft.com/office/excel/2006/main">
          <x14:cfRule type="expression" priority="366" id="{CBCA94CB-C486-4E43-A9F5-9E7E25804439}">
            <xm:f>COUNTIFS(Invoices!$K$33:$K$286,$R$11,Invoices!$L$33:$L$286,"15:00")</xm:f>
            <x14:dxf>
              <fill>
                <patternFill patternType="lightDown">
                  <fgColor rgb="FF67A97B"/>
                </patternFill>
              </fill>
            </x14:dxf>
          </x14:cfRule>
          <xm:sqref>R18</xm:sqref>
        </x14:conditionalFormatting>
        <x14:conditionalFormatting xmlns:xm="http://schemas.microsoft.com/office/excel/2006/main">
          <x14:cfRule type="expression" priority="367" id="{2D9480F3-0F18-4955-B23E-62655622DBFF}">
            <xm:f>COUNTIFS(Invoices!$K$33:$K$286,$R$11,Invoices!$L$33:$L$286,"16:00")</xm:f>
            <x14:dxf>
              <fill>
                <patternFill patternType="lightDown">
                  <fgColor rgb="FF67A97B"/>
                </patternFill>
              </fill>
            </x14:dxf>
          </x14:cfRule>
          <xm:sqref>R19</xm:sqref>
        </x14:conditionalFormatting>
        <x14:conditionalFormatting xmlns:xm="http://schemas.microsoft.com/office/excel/2006/main">
          <x14:cfRule type="expression" priority="368" id="{6646E127-7A45-432D-975C-441408BCBA19}">
            <xm:f>COUNTIFS(Invoices!$K$33:$K$286,$R$11,Invoices!$L$33:$L$286,"17:00")</xm:f>
            <x14:dxf>
              <fill>
                <patternFill patternType="lightDown">
                  <fgColor rgb="FF67A97B"/>
                </patternFill>
              </fill>
            </x14:dxf>
          </x14:cfRule>
          <xm:sqref>R20</xm:sqref>
        </x14:conditionalFormatting>
        <x14:conditionalFormatting xmlns:xm="http://schemas.microsoft.com/office/excel/2006/main">
          <x14:cfRule type="expression" priority="369" id="{7509DECD-A554-4EAB-8A1E-C1D29029A35C}">
            <xm:f>COUNTIFS(Invoices!$K$33:$K$286,$R$11,Invoices!$L$33:$L$286,"18:00")</xm:f>
            <x14:dxf>
              <fill>
                <patternFill patternType="lightDown">
                  <fgColor rgb="FF67A97B"/>
                </patternFill>
              </fill>
            </x14:dxf>
          </x14:cfRule>
          <xm:sqref>R21</xm:sqref>
        </x14:conditionalFormatting>
        <x14:conditionalFormatting xmlns:xm="http://schemas.microsoft.com/office/excel/2006/main">
          <x14:cfRule type="expression" priority="370" id="{263DA755-34E1-44A1-A9B3-F13E9138EA0C}">
            <xm:f>COUNTIFS(Invoices!$K$33:$K$286,$R$11,Invoices!$L$33:$L$286,"19:00")</xm:f>
            <x14:dxf>
              <fill>
                <patternFill patternType="lightDown">
                  <fgColor rgb="FF67A97B"/>
                </patternFill>
              </fill>
            </x14:dxf>
          </x14:cfRule>
          <xm:sqref>R22</xm:sqref>
        </x14:conditionalFormatting>
        <x14:conditionalFormatting xmlns:xm="http://schemas.microsoft.com/office/excel/2006/main">
          <x14:cfRule type="expression" priority="371" id="{D0AD5B84-4941-4869-9F99-61D8AE1B70D1}">
            <xm:f>COUNTIFS(Invoices!$K$33:$K$286,$R$11,Invoices!$L$33:$L$286,"20:00")</xm:f>
            <x14:dxf>
              <fill>
                <patternFill patternType="lightDown">
                  <fgColor rgb="FF67A97B"/>
                </patternFill>
              </fill>
            </x14:dxf>
          </x14:cfRule>
          <xm:sqref>R23</xm:sqref>
        </x14:conditionalFormatting>
        <x14:conditionalFormatting xmlns:xm="http://schemas.microsoft.com/office/excel/2006/main">
          <x14:cfRule type="expression" priority="372" id="{71667098-9921-41AD-9202-DE95B1DAC674}">
            <xm:f>COUNTIFS(Invoices!$K$33:$K$286,$R$11,Invoices!$L$33:$L$286,"21:00")</xm:f>
            <x14:dxf>
              <fill>
                <patternFill patternType="lightDown">
                  <fgColor rgb="FF67A97B"/>
                </patternFill>
              </fill>
            </x14:dxf>
          </x14:cfRule>
          <xm:sqref>R24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5D0B5-1230-432D-8812-DCE4FF751CDD}">
  <sheetPr codeName="Sheet3">
    <tabColor rgb="FF67A97B"/>
  </sheetPr>
  <dimension ref="A1:AH1410"/>
  <sheetViews>
    <sheetView zoomScaleNormal="100" workbookViewId="0">
      <selection activeCell="S59" sqref="S59"/>
    </sheetView>
  </sheetViews>
  <sheetFormatPr defaultRowHeight="15" x14ac:dyDescent="0.25"/>
  <cols>
    <col min="1" max="1" width="17.140625" customWidth="1"/>
    <col min="2" max="2" width="13.140625" customWidth="1"/>
    <col min="3" max="3" width="15" customWidth="1"/>
    <col min="4" max="4" width="11.5703125" customWidth="1"/>
    <col min="5" max="5" width="14" customWidth="1"/>
    <col min="6" max="6" width="10.28515625" bestFit="1" customWidth="1"/>
    <col min="7" max="7" width="14.42578125" customWidth="1"/>
    <col min="8" max="8" width="14.28515625" customWidth="1"/>
    <col min="9" max="9" width="17.5703125" customWidth="1"/>
    <col min="10" max="10" width="14.140625" customWidth="1"/>
    <col min="11" max="11" width="16.7109375" customWidth="1"/>
    <col min="12" max="12" width="13" style="10" customWidth="1"/>
    <col min="13" max="13" width="13.42578125" customWidth="1"/>
    <col min="14" max="14" width="11" customWidth="1"/>
    <col min="16" max="16" width="23.5703125" customWidth="1"/>
    <col min="18" max="18" width="10.7109375" bestFit="1" customWidth="1"/>
  </cols>
  <sheetData>
    <row r="1" spans="1:33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8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</row>
    <row r="2" spans="1:33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8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</row>
    <row r="3" spans="1:33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8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</row>
    <row r="4" spans="1:33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8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</row>
    <row r="5" spans="1:33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8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</row>
    <row r="6" spans="1:33" ht="15" customHeight="1" x14ac:dyDescent="0.25">
      <c r="A6" s="17" t="s">
        <v>39</v>
      </c>
      <c r="B6" s="235"/>
      <c r="C6" s="235"/>
      <c r="D6" s="235"/>
      <c r="E6" s="235"/>
      <c r="F6" s="235"/>
      <c r="G6" s="235"/>
      <c r="H6" s="235"/>
      <c r="I6" s="235"/>
      <c r="J6" s="235"/>
      <c r="K6" s="235"/>
      <c r="L6" s="235"/>
      <c r="M6" s="235"/>
      <c r="N6" s="235"/>
      <c r="O6" s="236"/>
      <c r="P6" s="236"/>
      <c r="Q6" s="236"/>
      <c r="R6" s="236"/>
      <c r="S6" s="236"/>
      <c r="T6" s="236"/>
      <c r="U6" s="236"/>
      <c r="V6" s="236"/>
      <c r="W6" s="236"/>
      <c r="X6" s="236"/>
      <c r="Y6" s="236"/>
      <c r="Z6" s="236"/>
      <c r="AA6" s="236"/>
      <c r="AB6" s="14"/>
      <c r="AC6" s="14"/>
      <c r="AD6" s="14"/>
      <c r="AE6" s="14"/>
      <c r="AF6" s="14"/>
      <c r="AG6" s="14"/>
    </row>
    <row r="7" spans="1:33" ht="15" customHeight="1" x14ac:dyDescent="0.25">
      <c r="A7" s="17"/>
      <c r="B7" s="235"/>
      <c r="C7" s="235"/>
      <c r="D7" s="235"/>
      <c r="E7" s="235"/>
      <c r="F7" s="235"/>
      <c r="G7" s="235"/>
      <c r="H7" s="235"/>
      <c r="I7" s="235"/>
      <c r="J7" s="235"/>
      <c r="K7" s="235"/>
      <c r="L7" s="235"/>
      <c r="M7" s="235"/>
      <c r="N7" s="235"/>
      <c r="O7" s="236"/>
      <c r="P7" s="236"/>
      <c r="Q7" s="236"/>
      <c r="R7" s="236"/>
      <c r="S7" s="236"/>
      <c r="T7" s="236"/>
      <c r="U7" s="236"/>
      <c r="V7" s="236"/>
      <c r="W7" s="236"/>
      <c r="X7" s="236"/>
      <c r="Y7" s="236"/>
      <c r="Z7" s="236"/>
      <c r="AA7" s="236"/>
      <c r="AB7" s="14"/>
      <c r="AC7" s="14"/>
      <c r="AD7" s="14"/>
      <c r="AE7" s="14"/>
      <c r="AF7" s="14"/>
      <c r="AG7" s="14"/>
    </row>
    <row r="8" spans="1:33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8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</row>
    <row r="9" spans="1:33" x14ac:dyDescent="0.25">
      <c r="A9" s="14"/>
      <c r="B9" s="37" t="s">
        <v>40</v>
      </c>
      <c r="C9" s="30"/>
      <c r="D9" s="30"/>
      <c r="E9" s="31"/>
      <c r="F9" s="14"/>
      <c r="G9" s="14"/>
      <c r="H9" s="14"/>
      <c r="I9" s="14"/>
      <c r="J9" s="14"/>
      <c r="K9" s="14"/>
      <c r="L9" s="18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</row>
    <row r="10" spans="1:33" x14ac:dyDescent="0.25">
      <c r="A10" s="14"/>
      <c r="B10" s="63"/>
      <c r="C10" s="64"/>
      <c r="D10" s="64"/>
      <c r="E10" s="65"/>
      <c r="F10" s="14"/>
      <c r="G10" s="14"/>
      <c r="H10" s="14"/>
      <c r="I10" s="14"/>
      <c r="J10" s="14"/>
      <c r="K10" s="14"/>
      <c r="L10" s="18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</row>
    <row r="11" spans="1:33" x14ac:dyDescent="0.25">
      <c r="A11" s="14"/>
      <c r="B11" s="66" t="s">
        <v>41</v>
      </c>
      <c r="C11" s="67" t="str">
        <f>IF(C12=0,"",INDEX(date,MATCH(C12,i,)))</f>
        <v/>
      </c>
      <c r="D11" s="68"/>
      <c r="E11" s="69"/>
      <c r="F11" s="14"/>
      <c r="G11" s="14"/>
      <c r="H11" s="14"/>
      <c r="I11" s="14"/>
      <c r="J11" s="14"/>
      <c r="K11" s="14"/>
      <c r="L11" s="18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</row>
    <row r="12" spans="1:33" x14ac:dyDescent="0.25">
      <c r="A12" s="96"/>
      <c r="B12" s="186" t="s">
        <v>42</v>
      </c>
      <c r="C12" s="218"/>
      <c r="D12" s="187"/>
      <c r="E12" s="188"/>
      <c r="F12" s="96"/>
      <c r="G12" s="96"/>
      <c r="H12" s="14"/>
      <c r="I12" s="14"/>
      <c r="J12" s="14"/>
      <c r="K12" s="14"/>
      <c r="L12" s="18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</row>
    <row r="13" spans="1:33" x14ac:dyDescent="0.25">
      <c r="A13" s="96"/>
      <c r="B13" s="189"/>
      <c r="C13" s="187"/>
      <c r="D13" s="187"/>
      <c r="E13" s="188"/>
      <c r="F13" s="96"/>
      <c r="G13" s="96"/>
      <c r="H13" s="14"/>
      <c r="I13" s="14"/>
      <c r="J13" s="14"/>
      <c r="K13" s="14"/>
      <c r="L13" s="18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</row>
    <row r="14" spans="1:33" x14ac:dyDescent="0.25">
      <c r="A14" s="96"/>
      <c r="B14" s="190" t="s">
        <v>43</v>
      </c>
      <c r="C14" s="191" t="str">
        <f>IF(C12=0,"",VLOOKUP(C12,C32:J87,2))</f>
        <v/>
      </c>
      <c r="D14" s="187"/>
      <c r="E14" s="188"/>
      <c r="F14" s="96"/>
      <c r="G14" s="96"/>
      <c r="H14" s="14"/>
      <c r="I14" s="14"/>
      <c r="J14" s="14"/>
      <c r="K14" s="14"/>
      <c r="L14" s="18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</row>
    <row r="15" spans="1:33" x14ac:dyDescent="0.25">
      <c r="A15" s="96"/>
      <c r="B15" s="189"/>
      <c r="C15" s="187"/>
      <c r="D15" s="187"/>
      <c r="E15" s="188"/>
      <c r="F15" s="96"/>
      <c r="G15" s="96"/>
      <c r="H15" s="14"/>
      <c r="I15" s="14"/>
      <c r="J15" s="14"/>
      <c r="K15" s="14"/>
      <c r="L15" s="18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</row>
    <row r="16" spans="1:33" x14ac:dyDescent="0.25">
      <c r="A16" s="96"/>
      <c r="B16" s="192" t="s">
        <v>10</v>
      </c>
      <c r="C16" s="193" t="str">
        <f>IF(C12=0,"",VLOOKUP(C12,C32:J971,3))</f>
        <v/>
      </c>
      <c r="D16" s="194" t="str">
        <f>IF(C12=0,"",VLOOKUP(C12,C32:J845,4))</f>
        <v/>
      </c>
      <c r="E16" s="195" t="str">
        <f>IF(C12=0,"",VLOOKUP(C12,C32:J972,5))</f>
        <v/>
      </c>
      <c r="F16" s="96"/>
      <c r="G16" s="96"/>
      <c r="H16" s="14"/>
      <c r="I16" s="14"/>
      <c r="J16" s="14"/>
      <c r="K16" s="14"/>
      <c r="L16" s="18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</row>
    <row r="17" spans="1:33" x14ac:dyDescent="0.25">
      <c r="A17" s="96"/>
      <c r="B17" s="196"/>
      <c r="C17" s="197"/>
      <c r="D17" s="197"/>
      <c r="E17" s="198"/>
      <c r="F17" s="96"/>
      <c r="G17" s="96"/>
      <c r="H17" s="14"/>
      <c r="I17" s="14"/>
      <c r="J17" s="14"/>
      <c r="K17" s="14"/>
      <c r="L17" s="18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</row>
    <row r="18" spans="1:33" x14ac:dyDescent="0.25">
      <c r="A18" s="121"/>
      <c r="B18" s="199" t="s">
        <v>13</v>
      </c>
      <c r="C18" s="200" t="str">
        <f>IF(C12=0,"",VLOOKUP(C12,C32:J98,7))</f>
        <v/>
      </c>
      <c r="D18" s="201" t="s">
        <v>161</v>
      </c>
      <c r="E18" s="202" t="str">
        <f>IF(C12=0,"",VLOOKUP(C12,C32:J550,6))</f>
        <v/>
      </c>
      <c r="F18" s="96"/>
      <c r="G18" s="96"/>
      <c r="H18" s="14"/>
      <c r="I18" s="14"/>
      <c r="J18" s="14"/>
      <c r="K18" s="14"/>
      <c r="L18" s="18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</row>
    <row r="19" spans="1:33" x14ac:dyDescent="0.25">
      <c r="A19" s="121"/>
      <c r="B19" s="203"/>
      <c r="C19" s="204"/>
      <c r="D19" s="204"/>
      <c r="E19" s="205"/>
      <c r="F19" s="96"/>
      <c r="G19" s="96"/>
      <c r="H19" s="14"/>
      <c r="I19" s="14"/>
      <c r="J19" s="14"/>
      <c r="K19" s="14"/>
      <c r="L19" s="18"/>
      <c r="M19" s="14"/>
      <c r="N19" s="36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</row>
    <row r="20" spans="1:33" x14ac:dyDescent="0.25">
      <c r="A20" s="121"/>
      <c r="B20" s="206" t="s">
        <v>17</v>
      </c>
      <c r="C20" s="207">
        <f>IF(C12=0,0,VLOOKUP(C12,C32:J86,8))</f>
        <v>0</v>
      </c>
      <c r="D20" s="208"/>
      <c r="E20" s="209"/>
      <c r="F20" s="96"/>
      <c r="G20" s="96"/>
      <c r="H20" s="14"/>
      <c r="I20" s="14"/>
      <c r="J20" s="14"/>
      <c r="K20" s="14"/>
      <c r="L20" s="18"/>
      <c r="M20" s="14"/>
      <c r="N20" s="36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</row>
    <row r="21" spans="1:33" x14ac:dyDescent="0.25">
      <c r="A21" s="121"/>
      <c r="B21" s="203"/>
      <c r="C21" s="204"/>
      <c r="D21" s="204"/>
      <c r="E21" s="205"/>
      <c r="F21" s="96"/>
      <c r="G21" s="96"/>
      <c r="H21" s="14"/>
      <c r="I21" s="14"/>
      <c r="J21" s="14"/>
      <c r="K21" s="14"/>
      <c r="L21" s="18"/>
      <c r="M21" s="14"/>
      <c r="N21" s="36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</row>
    <row r="22" spans="1:33" x14ac:dyDescent="0.25">
      <c r="A22" s="121"/>
      <c r="B22" s="199" t="s">
        <v>159</v>
      </c>
      <c r="C22" s="210" t="str">
        <f>IF(C12=0,"",INDEX(K32:K644,MATCH(C12,i,)))</f>
        <v/>
      </c>
      <c r="D22" s="201" t="s">
        <v>21</v>
      </c>
      <c r="E22" s="211" t="str">
        <f>IF(C12=0,"",INDEX(L32:L664,MATCH(C12,i,)))</f>
        <v/>
      </c>
      <c r="F22" s="96"/>
      <c r="G22" s="96"/>
      <c r="H22" s="14"/>
      <c r="I22" s="14"/>
      <c r="J22" s="14"/>
      <c r="K22" s="14"/>
      <c r="L22" s="18"/>
      <c r="M22" s="14"/>
      <c r="N22" s="36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</row>
    <row r="23" spans="1:33" x14ac:dyDescent="0.25">
      <c r="A23" s="96"/>
      <c r="B23" s="203"/>
      <c r="C23" s="204"/>
      <c r="D23" s="204"/>
      <c r="E23" s="205"/>
      <c r="F23" s="96"/>
      <c r="G23" s="96"/>
      <c r="H23" s="14"/>
      <c r="I23" s="14"/>
      <c r="J23" s="14"/>
      <c r="K23" s="14"/>
      <c r="L23" s="18"/>
      <c r="M23" s="14"/>
      <c r="N23" s="36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</row>
    <row r="24" spans="1:33" x14ac:dyDescent="0.25">
      <c r="A24" s="96"/>
      <c r="B24" s="212"/>
      <c r="C24" s="208"/>
      <c r="D24" s="208"/>
      <c r="E24" s="209"/>
      <c r="F24" s="96"/>
      <c r="G24" s="96"/>
      <c r="H24" s="14"/>
      <c r="I24" s="14"/>
      <c r="J24" s="14"/>
      <c r="K24" s="14"/>
      <c r="L24" s="18"/>
      <c r="M24" s="14"/>
      <c r="N24" s="36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</row>
    <row r="25" spans="1:33" x14ac:dyDescent="0.25">
      <c r="A25" s="96"/>
      <c r="B25" s="203"/>
      <c r="C25" s="204"/>
      <c r="D25" s="204"/>
      <c r="E25" s="205"/>
      <c r="F25" s="96"/>
      <c r="G25" s="96"/>
      <c r="H25" s="14"/>
      <c r="I25" s="14"/>
      <c r="J25" s="14"/>
      <c r="K25" s="14"/>
      <c r="L25" s="18"/>
      <c r="M25" s="14"/>
      <c r="N25" s="36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</row>
    <row r="26" spans="1:33" x14ac:dyDescent="0.25">
      <c r="A26" s="96"/>
      <c r="B26" s="199" t="s">
        <v>160</v>
      </c>
      <c r="C26" s="213">
        <f>IF(C12=0,0,INDEX(totcost_inv,MATCH(C12,i,)))</f>
        <v>0</v>
      </c>
      <c r="D26" s="204"/>
      <c r="E26" s="205"/>
      <c r="F26" s="96"/>
      <c r="G26" s="96"/>
      <c r="H26" s="14"/>
      <c r="I26" s="14"/>
      <c r="J26" s="14"/>
      <c r="K26" s="14"/>
      <c r="L26" s="18"/>
      <c r="M26" s="14"/>
      <c r="N26" s="36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</row>
    <row r="27" spans="1:33" x14ac:dyDescent="0.25">
      <c r="A27" s="96"/>
      <c r="B27" s="203"/>
      <c r="C27" s="204"/>
      <c r="D27" s="204"/>
      <c r="E27" s="205"/>
      <c r="F27" s="96"/>
      <c r="G27" s="96"/>
      <c r="H27" s="14"/>
      <c r="I27" s="14"/>
      <c r="J27" s="14"/>
      <c r="K27" s="14"/>
      <c r="L27" s="18"/>
      <c r="M27" s="14"/>
      <c r="N27" s="36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</row>
    <row r="28" spans="1:33" x14ac:dyDescent="0.25">
      <c r="A28" s="96"/>
      <c r="B28" s="212"/>
      <c r="C28" s="208"/>
      <c r="D28" s="208"/>
      <c r="E28" s="209"/>
      <c r="F28" s="96"/>
      <c r="G28" s="96"/>
      <c r="H28" s="14"/>
      <c r="I28" s="14"/>
      <c r="J28" s="14"/>
      <c r="K28" s="14"/>
      <c r="L28" s="70"/>
      <c r="M28" s="45"/>
      <c r="N28" s="36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</row>
    <row r="29" spans="1:33" x14ac:dyDescent="0.25">
      <c r="A29" s="96"/>
      <c r="B29" s="96"/>
      <c r="C29" s="96"/>
      <c r="D29" s="96"/>
      <c r="E29" s="96"/>
      <c r="F29" s="96"/>
      <c r="G29" s="96"/>
      <c r="H29" s="14"/>
      <c r="I29" s="14"/>
      <c r="J29" s="14"/>
      <c r="K29" s="14"/>
      <c r="L29" s="71" t="s">
        <v>189</v>
      </c>
      <c r="M29" s="71">
        <f>COUNT(C33:C300)</f>
        <v>70</v>
      </c>
      <c r="N29" s="36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</row>
    <row r="30" spans="1:33" x14ac:dyDescent="0.2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8"/>
      <c r="M30" s="14"/>
      <c r="N30" s="36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</row>
    <row r="31" spans="1:33" x14ac:dyDescent="0.25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8"/>
      <c r="M31" s="14"/>
      <c r="N31" s="36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</row>
    <row r="32" spans="1:33" x14ac:dyDescent="0.25">
      <c r="A32" s="14"/>
      <c r="B32" s="20" t="s">
        <v>30</v>
      </c>
      <c r="C32" s="21" t="s">
        <v>5</v>
      </c>
      <c r="D32" s="21" t="s">
        <v>6</v>
      </c>
      <c r="E32" s="21" t="s">
        <v>31</v>
      </c>
      <c r="F32" s="21" t="s">
        <v>32</v>
      </c>
      <c r="G32" s="21" t="s">
        <v>33</v>
      </c>
      <c r="H32" s="21" t="s">
        <v>14</v>
      </c>
      <c r="I32" s="21" t="s">
        <v>34</v>
      </c>
      <c r="J32" s="21" t="s">
        <v>35</v>
      </c>
      <c r="K32" s="21" t="s">
        <v>36</v>
      </c>
      <c r="L32" s="21" t="s">
        <v>37</v>
      </c>
      <c r="M32" s="22" t="s">
        <v>38</v>
      </c>
      <c r="N32" s="36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</row>
    <row r="33" spans="1:32" x14ac:dyDescent="0.25">
      <c r="A33" s="14"/>
      <c r="B33" s="5">
        <v>45334</v>
      </c>
      <c r="C33" s="12">
        <v>1</v>
      </c>
      <c r="D33" s="11">
        <v>2</v>
      </c>
      <c r="E33" s="224" t="s">
        <v>44</v>
      </c>
      <c r="F33" s="11" t="s">
        <v>52</v>
      </c>
      <c r="G33" s="12" t="s">
        <v>53</v>
      </c>
      <c r="H33" s="11">
        <v>2</v>
      </c>
      <c r="I33" s="1" t="s">
        <v>118</v>
      </c>
      <c r="J33" s="7">
        <v>5</v>
      </c>
      <c r="K33" s="8">
        <v>45336</v>
      </c>
      <c r="L33" s="73" t="s">
        <v>199</v>
      </c>
      <c r="M33" s="216">
        <v>15</v>
      </c>
      <c r="N33" s="36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</row>
    <row r="34" spans="1:32" x14ac:dyDescent="0.25">
      <c r="A34" s="14"/>
      <c r="B34" s="5">
        <v>45334</v>
      </c>
      <c r="C34" s="12">
        <v>2</v>
      </c>
      <c r="D34" s="11">
        <v>5</v>
      </c>
      <c r="E34" s="224" t="s">
        <v>78</v>
      </c>
      <c r="F34" s="11" t="s">
        <v>85</v>
      </c>
      <c r="G34" s="12" t="s">
        <v>86</v>
      </c>
      <c r="H34" s="11">
        <v>3</v>
      </c>
      <c r="I34" s="1" t="s">
        <v>119</v>
      </c>
      <c r="J34" s="7">
        <v>5</v>
      </c>
      <c r="K34" s="8">
        <v>45336</v>
      </c>
      <c r="L34" s="73" t="s">
        <v>200</v>
      </c>
      <c r="M34" s="75">
        <v>15</v>
      </c>
      <c r="N34" s="36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</row>
    <row r="35" spans="1:32" x14ac:dyDescent="0.25">
      <c r="A35" s="14"/>
      <c r="B35" s="5">
        <v>45334</v>
      </c>
      <c r="C35" s="12">
        <v>3</v>
      </c>
      <c r="D35" s="11">
        <v>5</v>
      </c>
      <c r="E35" s="224" t="s">
        <v>78</v>
      </c>
      <c r="F35" s="11" t="s">
        <v>85</v>
      </c>
      <c r="G35" s="12" t="s">
        <v>86</v>
      </c>
      <c r="H35" s="11">
        <v>3</v>
      </c>
      <c r="I35" s="1" t="s">
        <v>119</v>
      </c>
      <c r="J35" s="7">
        <v>5</v>
      </c>
      <c r="K35" s="8">
        <v>45337</v>
      </c>
      <c r="L35" s="73" t="s">
        <v>201</v>
      </c>
      <c r="M35" s="75">
        <v>14.25</v>
      </c>
      <c r="N35" s="36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</row>
    <row r="36" spans="1:32" x14ac:dyDescent="0.25">
      <c r="A36" s="14"/>
      <c r="B36" s="5">
        <v>45334</v>
      </c>
      <c r="C36" s="12">
        <v>4</v>
      </c>
      <c r="D36" s="11">
        <v>5</v>
      </c>
      <c r="E36" s="224" t="s">
        <v>78</v>
      </c>
      <c r="F36" s="11" t="s">
        <v>85</v>
      </c>
      <c r="G36" s="12" t="s">
        <v>86</v>
      </c>
      <c r="H36" s="11">
        <v>3</v>
      </c>
      <c r="I36" s="1" t="s">
        <v>119</v>
      </c>
      <c r="J36" s="7">
        <v>5</v>
      </c>
      <c r="K36" s="8">
        <v>45337</v>
      </c>
      <c r="L36" s="73" t="s">
        <v>201</v>
      </c>
      <c r="M36" s="75">
        <v>14.25</v>
      </c>
      <c r="N36" s="36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</row>
    <row r="37" spans="1:32" x14ac:dyDescent="0.25">
      <c r="A37" s="14"/>
      <c r="B37" s="5">
        <v>45334</v>
      </c>
      <c r="C37" s="12">
        <v>5</v>
      </c>
      <c r="D37" s="11">
        <v>2</v>
      </c>
      <c r="E37" s="224" t="s">
        <v>44</v>
      </c>
      <c r="F37" s="11" t="s">
        <v>52</v>
      </c>
      <c r="G37" s="12" t="s">
        <v>53</v>
      </c>
      <c r="H37" s="11">
        <v>9</v>
      </c>
      <c r="I37" s="1" t="s">
        <v>122</v>
      </c>
      <c r="J37" s="7">
        <v>7</v>
      </c>
      <c r="K37" s="8">
        <v>45336</v>
      </c>
      <c r="L37" s="73" t="s">
        <v>202</v>
      </c>
      <c r="M37" s="75">
        <v>16.149999999999999</v>
      </c>
      <c r="N37" s="36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</row>
    <row r="38" spans="1:32" x14ac:dyDescent="0.25">
      <c r="A38" s="14"/>
      <c r="B38" s="5">
        <v>45334</v>
      </c>
      <c r="C38" s="12">
        <v>6</v>
      </c>
      <c r="D38" s="11">
        <v>2</v>
      </c>
      <c r="E38" s="224" t="s">
        <v>44</v>
      </c>
      <c r="F38" s="11" t="s">
        <v>52</v>
      </c>
      <c r="G38" s="12" t="s">
        <v>53</v>
      </c>
      <c r="H38" s="11">
        <v>9</v>
      </c>
      <c r="I38" s="1" t="s">
        <v>122</v>
      </c>
      <c r="J38" s="7">
        <v>7</v>
      </c>
      <c r="K38" s="8">
        <v>45338</v>
      </c>
      <c r="L38" s="73" t="s">
        <v>202</v>
      </c>
      <c r="M38" s="75">
        <v>16.149999999999999</v>
      </c>
      <c r="N38" s="36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</row>
    <row r="39" spans="1:32" x14ac:dyDescent="0.25">
      <c r="A39" s="14"/>
      <c r="B39" s="5">
        <v>45334</v>
      </c>
      <c r="C39" s="12">
        <v>7</v>
      </c>
      <c r="D39" s="11">
        <v>2</v>
      </c>
      <c r="E39" s="224" t="s">
        <v>44</v>
      </c>
      <c r="F39" s="11" t="s">
        <v>52</v>
      </c>
      <c r="G39" s="12" t="s">
        <v>53</v>
      </c>
      <c r="H39" s="11">
        <v>9</v>
      </c>
      <c r="I39" s="1" t="s">
        <v>122</v>
      </c>
      <c r="J39" s="7">
        <v>7</v>
      </c>
      <c r="K39" s="8">
        <v>45340</v>
      </c>
      <c r="L39" s="73" t="s">
        <v>202</v>
      </c>
      <c r="M39" s="75">
        <v>16.149999999999999</v>
      </c>
      <c r="N39" s="36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</row>
    <row r="40" spans="1:32" x14ac:dyDescent="0.25">
      <c r="A40" s="14"/>
      <c r="B40" s="5">
        <v>45334</v>
      </c>
      <c r="C40" s="12">
        <v>8</v>
      </c>
      <c r="D40" s="11">
        <v>2</v>
      </c>
      <c r="E40" s="224" t="s">
        <v>44</v>
      </c>
      <c r="F40" s="11" t="s">
        <v>52</v>
      </c>
      <c r="G40" s="12" t="s">
        <v>53</v>
      </c>
      <c r="H40" s="11">
        <v>9</v>
      </c>
      <c r="I40" s="1" t="s">
        <v>122</v>
      </c>
      <c r="J40" s="7">
        <v>7</v>
      </c>
      <c r="K40" s="8">
        <v>45339</v>
      </c>
      <c r="L40" s="73" t="s">
        <v>202</v>
      </c>
      <c r="M40" s="75">
        <v>16.149999999999999</v>
      </c>
      <c r="N40" s="36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</row>
    <row r="41" spans="1:32" x14ac:dyDescent="0.25">
      <c r="A41" s="14"/>
      <c r="B41" s="5">
        <v>45334</v>
      </c>
      <c r="C41" s="12">
        <v>9</v>
      </c>
      <c r="D41" s="11">
        <v>2</v>
      </c>
      <c r="E41" s="224" t="s">
        <v>44</v>
      </c>
      <c r="F41" s="11" t="s">
        <v>52</v>
      </c>
      <c r="G41" s="12" t="s">
        <v>53</v>
      </c>
      <c r="H41" s="11">
        <v>9</v>
      </c>
      <c r="I41" s="1" t="s">
        <v>122</v>
      </c>
      <c r="J41" s="7">
        <v>7</v>
      </c>
      <c r="K41" s="8">
        <v>45335</v>
      </c>
      <c r="L41" s="73" t="s">
        <v>202</v>
      </c>
      <c r="M41" s="75">
        <v>16.149999999999999</v>
      </c>
      <c r="N41" s="36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</row>
    <row r="42" spans="1:32" x14ac:dyDescent="0.25">
      <c r="A42" s="14"/>
      <c r="B42" s="5">
        <v>45334</v>
      </c>
      <c r="C42" s="12">
        <v>10</v>
      </c>
      <c r="D42" s="11">
        <v>2</v>
      </c>
      <c r="E42" s="224" t="s">
        <v>44</v>
      </c>
      <c r="F42" s="11" t="s">
        <v>52</v>
      </c>
      <c r="G42" s="12" t="s">
        <v>53</v>
      </c>
      <c r="H42" s="11">
        <v>9</v>
      </c>
      <c r="I42" s="1" t="s">
        <v>122</v>
      </c>
      <c r="J42" s="7">
        <v>7</v>
      </c>
      <c r="K42" s="8">
        <v>45338</v>
      </c>
      <c r="L42" s="73" t="s">
        <v>202</v>
      </c>
      <c r="M42" s="75">
        <v>16.149999999999999</v>
      </c>
      <c r="N42" s="36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</row>
    <row r="43" spans="1:32" x14ac:dyDescent="0.25">
      <c r="A43" s="14"/>
      <c r="B43" s="5">
        <v>45334</v>
      </c>
      <c r="C43" s="12">
        <v>11</v>
      </c>
      <c r="D43" s="11">
        <v>2</v>
      </c>
      <c r="E43" s="224" t="s">
        <v>44</v>
      </c>
      <c r="F43" s="11" t="s">
        <v>52</v>
      </c>
      <c r="G43" s="12" t="s">
        <v>53</v>
      </c>
      <c r="H43" s="11">
        <v>11</v>
      </c>
      <c r="I43" s="1" t="s">
        <v>124</v>
      </c>
      <c r="J43" s="7">
        <v>10</v>
      </c>
      <c r="K43" s="8">
        <v>45338</v>
      </c>
      <c r="L43" s="73" t="s">
        <v>202</v>
      </c>
      <c r="M43" s="75">
        <v>19</v>
      </c>
      <c r="N43" s="36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</row>
    <row r="44" spans="1:32" x14ac:dyDescent="0.25">
      <c r="A44" s="14"/>
      <c r="B44" s="5">
        <v>45334</v>
      </c>
      <c r="C44" s="12">
        <v>12</v>
      </c>
      <c r="D44" s="11">
        <v>2</v>
      </c>
      <c r="E44" s="224" t="s">
        <v>44</v>
      </c>
      <c r="F44" s="11" t="s">
        <v>52</v>
      </c>
      <c r="G44" s="12" t="s">
        <v>53</v>
      </c>
      <c r="H44" s="11">
        <v>11</v>
      </c>
      <c r="I44" s="1" t="s">
        <v>124</v>
      </c>
      <c r="J44" s="7">
        <v>10</v>
      </c>
      <c r="K44" s="8">
        <v>45334</v>
      </c>
      <c r="L44" s="73" t="s">
        <v>202</v>
      </c>
      <c r="M44" s="75">
        <v>19</v>
      </c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</row>
    <row r="45" spans="1:32" x14ac:dyDescent="0.25">
      <c r="A45" s="14"/>
      <c r="B45" s="5">
        <v>45334</v>
      </c>
      <c r="C45" s="12">
        <v>13</v>
      </c>
      <c r="D45" s="11">
        <v>2</v>
      </c>
      <c r="E45" s="224" t="s">
        <v>44</v>
      </c>
      <c r="F45" s="11" t="s">
        <v>52</v>
      </c>
      <c r="G45" s="12" t="s">
        <v>53</v>
      </c>
      <c r="H45" s="11">
        <v>11</v>
      </c>
      <c r="I45" s="1" t="s">
        <v>124</v>
      </c>
      <c r="J45" s="7">
        <v>10</v>
      </c>
      <c r="K45" s="8">
        <v>45334</v>
      </c>
      <c r="L45" s="73" t="s">
        <v>202</v>
      </c>
      <c r="M45" s="75">
        <v>19</v>
      </c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</row>
    <row r="46" spans="1:32" x14ac:dyDescent="0.25">
      <c r="A46" s="14"/>
      <c r="B46" s="5">
        <v>45334</v>
      </c>
      <c r="C46" s="12">
        <v>14</v>
      </c>
      <c r="D46" s="11">
        <v>2</v>
      </c>
      <c r="E46" s="224" t="s">
        <v>44</v>
      </c>
      <c r="F46" s="11" t="s">
        <v>52</v>
      </c>
      <c r="G46" s="12" t="s">
        <v>53</v>
      </c>
      <c r="H46" s="11">
        <v>11</v>
      </c>
      <c r="I46" s="1" t="s">
        <v>124</v>
      </c>
      <c r="J46" s="7">
        <v>10</v>
      </c>
      <c r="K46" s="8">
        <v>45334</v>
      </c>
      <c r="L46" s="73" t="s">
        <v>202</v>
      </c>
      <c r="M46" s="75">
        <v>19</v>
      </c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</row>
    <row r="47" spans="1:32" x14ac:dyDescent="0.25">
      <c r="A47" s="14"/>
      <c r="B47" s="5">
        <v>45334</v>
      </c>
      <c r="C47" s="12">
        <v>15</v>
      </c>
      <c r="D47" s="11">
        <v>2</v>
      </c>
      <c r="E47" s="224" t="s">
        <v>44</v>
      </c>
      <c r="F47" s="11" t="s">
        <v>52</v>
      </c>
      <c r="G47" s="12" t="s">
        <v>53</v>
      </c>
      <c r="H47" s="11">
        <v>11</v>
      </c>
      <c r="I47" s="1" t="s">
        <v>124</v>
      </c>
      <c r="J47" s="7">
        <v>10</v>
      </c>
      <c r="K47" s="8">
        <v>45334</v>
      </c>
      <c r="L47" s="73" t="s">
        <v>202</v>
      </c>
      <c r="M47" s="75">
        <v>19</v>
      </c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</row>
    <row r="48" spans="1:32" x14ac:dyDescent="0.25">
      <c r="A48" s="14"/>
      <c r="B48" s="5">
        <v>45334</v>
      </c>
      <c r="C48" s="12">
        <v>16</v>
      </c>
      <c r="D48" s="11">
        <v>2</v>
      </c>
      <c r="E48" s="224" t="s">
        <v>44</v>
      </c>
      <c r="F48" s="11" t="s">
        <v>52</v>
      </c>
      <c r="G48" s="12" t="s">
        <v>53</v>
      </c>
      <c r="H48" s="11">
        <v>11</v>
      </c>
      <c r="I48" s="1" t="s">
        <v>124</v>
      </c>
      <c r="J48" s="7">
        <v>10</v>
      </c>
      <c r="K48" s="8">
        <v>45334</v>
      </c>
      <c r="L48" s="73" t="s">
        <v>202</v>
      </c>
      <c r="M48" s="75">
        <v>19</v>
      </c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</row>
    <row r="49" spans="1:32" x14ac:dyDescent="0.25">
      <c r="A49" s="14"/>
      <c r="B49" s="5">
        <v>45334</v>
      </c>
      <c r="C49" s="12">
        <v>17</v>
      </c>
      <c r="D49" s="11">
        <v>2</v>
      </c>
      <c r="E49" s="224" t="s">
        <v>44</v>
      </c>
      <c r="F49" s="11" t="s">
        <v>52</v>
      </c>
      <c r="G49" s="12" t="s">
        <v>53</v>
      </c>
      <c r="H49" s="11">
        <v>11</v>
      </c>
      <c r="I49" s="1" t="s">
        <v>124</v>
      </c>
      <c r="J49" s="7">
        <v>10</v>
      </c>
      <c r="K49" s="8">
        <v>45334</v>
      </c>
      <c r="L49" s="73" t="s">
        <v>202</v>
      </c>
      <c r="M49" s="75">
        <v>19</v>
      </c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</row>
    <row r="50" spans="1:32" x14ac:dyDescent="0.25">
      <c r="A50" s="14"/>
      <c r="B50" s="5">
        <v>45334</v>
      </c>
      <c r="C50" s="12">
        <v>18</v>
      </c>
      <c r="D50" s="11">
        <v>2</v>
      </c>
      <c r="E50" s="224" t="s">
        <v>44</v>
      </c>
      <c r="F50" s="11" t="s">
        <v>52</v>
      </c>
      <c r="G50" s="12" t="s">
        <v>53</v>
      </c>
      <c r="H50" s="11">
        <v>11</v>
      </c>
      <c r="I50" s="1" t="s">
        <v>124</v>
      </c>
      <c r="J50" s="7">
        <v>10</v>
      </c>
      <c r="K50" s="8">
        <v>45334</v>
      </c>
      <c r="L50" s="73" t="s">
        <v>202</v>
      </c>
      <c r="M50" s="75">
        <v>19</v>
      </c>
      <c r="N50" s="36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</row>
    <row r="51" spans="1:32" x14ac:dyDescent="0.25">
      <c r="A51" s="14"/>
      <c r="B51" s="5">
        <v>45334</v>
      </c>
      <c r="C51" s="12">
        <v>19</v>
      </c>
      <c r="D51" s="11">
        <v>2</v>
      </c>
      <c r="E51" s="224" t="s">
        <v>44</v>
      </c>
      <c r="F51" s="11" t="s">
        <v>52</v>
      </c>
      <c r="G51" s="12" t="s">
        <v>53</v>
      </c>
      <c r="H51" s="11">
        <v>11</v>
      </c>
      <c r="I51" s="1" t="s">
        <v>124</v>
      </c>
      <c r="J51" s="7">
        <v>10</v>
      </c>
      <c r="K51" s="8">
        <v>45334</v>
      </c>
      <c r="L51" s="73" t="s">
        <v>202</v>
      </c>
      <c r="M51" s="75">
        <v>19</v>
      </c>
      <c r="N51" s="36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</row>
    <row r="52" spans="1:32" x14ac:dyDescent="0.25">
      <c r="A52" s="14"/>
      <c r="B52" s="5">
        <v>45334</v>
      </c>
      <c r="C52" s="12">
        <v>20</v>
      </c>
      <c r="D52" s="11">
        <v>2</v>
      </c>
      <c r="E52" s="224" t="s">
        <v>44</v>
      </c>
      <c r="F52" s="11" t="s">
        <v>52</v>
      </c>
      <c r="G52" s="12" t="s">
        <v>53</v>
      </c>
      <c r="H52" s="11">
        <v>11</v>
      </c>
      <c r="I52" s="1" t="s">
        <v>124</v>
      </c>
      <c r="J52" s="7">
        <v>10</v>
      </c>
      <c r="K52" s="8">
        <v>45334</v>
      </c>
      <c r="L52" s="73" t="s">
        <v>202</v>
      </c>
      <c r="M52" s="75">
        <v>500</v>
      </c>
      <c r="N52" s="36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</row>
    <row r="53" spans="1:32" x14ac:dyDescent="0.25">
      <c r="A53" s="14"/>
      <c r="B53" s="5">
        <v>45334</v>
      </c>
      <c r="C53" s="12">
        <v>21</v>
      </c>
      <c r="D53" s="11">
        <v>2</v>
      </c>
      <c r="E53" s="224" t="s">
        <v>44</v>
      </c>
      <c r="F53" s="11" t="s">
        <v>52</v>
      </c>
      <c r="G53" s="12" t="s">
        <v>53</v>
      </c>
      <c r="H53" s="11">
        <v>11</v>
      </c>
      <c r="I53" s="1" t="s">
        <v>124</v>
      </c>
      <c r="J53" s="7">
        <v>10</v>
      </c>
      <c r="K53" s="8">
        <v>45334</v>
      </c>
      <c r="L53" s="73" t="s">
        <v>202</v>
      </c>
      <c r="M53" s="75">
        <v>19</v>
      </c>
      <c r="N53" s="36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</row>
    <row r="54" spans="1:32" x14ac:dyDescent="0.25">
      <c r="A54" s="14"/>
      <c r="B54" s="5">
        <v>45334</v>
      </c>
      <c r="C54" s="12">
        <v>22</v>
      </c>
      <c r="D54" s="11">
        <v>2</v>
      </c>
      <c r="E54" s="224" t="s">
        <v>44</v>
      </c>
      <c r="F54" s="11" t="s">
        <v>52</v>
      </c>
      <c r="G54" s="12" t="s">
        <v>53</v>
      </c>
      <c r="H54" s="11">
        <v>11</v>
      </c>
      <c r="I54" s="1" t="s">
        <v>124</v>
      </c>
      <c r="J54" s="7">
        <v>10</v>
      </c>
      <c r="K54" s="8">
        <v>45334</v>
      </c>
      <c r="L54" s="73" t="s">
        <v>202</v>
      </c>
      <c r="M54" s="75">
        <v>19</v>
      </c>
      <c r="N54" s="36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</row>
    <row r="55" spans="1:32" x14ac:dyDescent="0.25">
      <c r="A55" s="14"/>
      <c r="B55" s="5">
        <v>45334</v>
      </c>
      <c r="C55" s="12">
        <v>23</v>
      </c>
      <c r="D55" s="11">
        <v>2</v>
      </c>
      <c r="E55" s="224" t="s">
        <v>44</v>
      </c>
      <c r="F55" s="11" t="s">
        <v>52</v>
      </c>
      <c r="G55" s="12" t="s">
        <v>53</v>
      </c>
      <c r="H55" s="11">
        <v>11</v>
      </c>
      <c r="I55" s="1" t="s">
        <v>124</v>
      </c>
      <c r="J55" s="7">
        <v>10</v>
      </c>
      <c r="K55" s="8">
        <v>45334</v>
      </c>
      <c r="L55" s="73" t="s">
        <v>202</v>
      </c>
      <c r="M55" s="75">
        <v>19</v>
      </c>
      <c r="N55" s="36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</row>
    <row r="56" spans="1:32" x14ac:dyDescent="0.25">
      <c r="A56" s="14"/>
      <c r="B56" s="5">
        <v>45334</v>
      </c>
      <c r="C56" s="12">
        <v>24</v>
      </c>
      <c r="D56" s="11">
        <v>2</v>
      </c>
      <c r="E56" s="224" t="s">
        <v>44</v>
      </c>
      <c r="F56" s="11" t="s">
        <v>52</v>
      </c>
      <c r="G56" s="12" t="s">
        <v>53</v>
      </c>
      <c r="H56" s="11">
        <v>11</v>
      </c>
      <c r="I56" s="1" t="s">
        <v>124</v>
      </c>
      <c r="J56" s="7">
        <v>10</v>
      </c>
      <c r="K56" s="8">
        <v>45334</v>
      </c>
      <c r="L56" s="73" t="s">
        <v>202</v>
      </c>
      <c r="M56" s="75">
        <v>19</v>
      </c>
      <c r="N56" s="36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</row>
    <row r="57" spans="1:32" x14ac:dyDescent="0.25">
      <c r="A57" s="14"/>
      <c r="B57" s="5">
        <v>45334</v>
      </c>
      <c r="C57" s="12">
        <v>25</v>
      </c>
      <c r="D57" s="11">
        <v>2</v>
      </c>
      <c r="E57" s="224" t="s">
        <v>44</v>
      </c>
      <c r="F57" s="11" t="s">
        <v>52</v>
      </c>
      <c r="G57" s="12" t="s">
        <v>53</v>
      </c>
      <c r="H57" s="11">
        <v>11</v>
      </c>
      <c r="I57" s="1" t="s">
        <v>124</v>
      </c>
      <c r="J57" s="7">
        <v>10</v>
      </c>
      <c r="K57" s="8">
        <v>45334</v>
      </c>
      <c r="L57" s="73" t="s">
        <v>202</v>
      </c>
      <c r="M57" s="75">
        <v>19</v>
      </c>
      <c r="N57" s="36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</row>
    <row r="58" spans="1:32" x14ac:dyDescent="0.25">
      <c r="A58" s="14"/>
      <c r="B58" s="5">
        <v>45334</v>
      </c>
      <c r="C58" s="12">
        <v>26</v>
      </c>
      <c r="D58" s="11">
        <v>2</v>
      </c>
      <c r="E58" s="224" t="s">
        <v>44</v>
      </c>
      <c r="F58" s="11" t="s">
        <v>52</v>
      </c>
      <c r="G58" s="12" t="s">
        <v>53</v>
      </c>
      <c r="H58" s="11">
        <v>11</v>
      </c>
      <c r="I58" s="1" t="s">
        <v>124</v>
      </c>
      <c r="J58" s="7">
        <v>10</v>
      </c>
      <c r="K58" s="8">
        <v>45334</v>
      </c>
      <c r="L58" s="73" t="s">
        <v>202</v>
      </c>
      <c r="M58" s="75">
        <v>19</v>
      </c>
      <c r="N58" s="36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</row>
    <row r="59" spans="1:32" x14ac:dyDescent="0.25">
      <c r="A59" s="14"/>
      <c r="B59" s="5">
        <v>45334</v>
      </c>
      <c r="C59" s="12">
        <v>27</v>
      </c>
      <c r="D59" s="11">
        <v>2</v>
      </c>
      <c r="E59" s="224" t="s">
        <v>44</v>
      </c>
      <c r="F59" s="11" t="s">
        <v>52</v>
      </c>
      <c r="G59" s="12" t="s">
        <v>53</v>
      </c>
      <c r="H59" s="11">
        <v>11</v>
      </c>
      <c r="I59" s="1" t="s">
        <v>124</v>
      </c>
      <c r="J59" s="7">
        <v>10</v>
      </c>
      <c r="K59" s="8">
        <v>45334</v>
      </c>
      <c r="L59" s="73" t="s">
        <v>202</v>
      </c>
      <c r="M59" s="75">
        <v>19</v>
      </c>
      <c r="N59" s="36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</row>
    <row r="60" spans="1:32" x14ac:dyDescent="0.25">
      <c r="A60" s="14"/>
      <c r="B60" s="5">
        <v>45334</v>
      </c>
      <c r="C60" s="12">
        <v>28</v>
      </c>
      <c r="D60" s="11">
        <v>3</v>
      </c>
      <c r="E60" s="224" t="s">
        <v>44</v>
      </c>
      <c r="F60" s="11" t="s">
        <v>72</v>
      </c>
      <c r="G60" s="12" t="s">
        <v>73</v>
      </c>
      <c r="H60" s="11">
        <v>6</v>
      </c>
      <c r="I60" s="1" t="s">
        <v>54</v>
      </c>
      <c r="J60" s="7">
        <v>10</v>
      </c>
      <c r="K60" s="8">
        <v>45334</v>
      </c>
      <c r="L60" s="73" t="s">
        <v>203</v>
      </c>
      <c r="M60" s="75">
        <v>20</v>
      </c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</row>
    <row r="61" spans="1:32" x14ac:dyDescent="0.25">
      <c r="A61" s="14"/>
      <c r="B61" s="5">
        <v>45334</v>
      </c>
      <c r="C61" s="12">
        <v>29</v>
      </c>
      <c r="D61" s="11">
        <v>3</v>
      </c>
      <c r="E61" s="224" t="s">
        <v>44</v>
      </c>
      <c r="F61" s="11" t="s">
        <v>72</v>
      </c>
      <c r="G61" s="12" t="s">
        <v>73</v>
      </c>
      <c r="H61" s="11">
        <v>6</v>
      </c>
      <c r="I61" s="1" t="s">
        <v>54</v>
      </c>
      <c r="J61" s="7">
        <v>10</v>
      </c>
      <c r="K61" s="8">
        <v>45334</v>
      </c>
      <c r="L61" s="73" t="s">
        <v>203</v>
      </c>
      <c r="M61" s="75">
        <v>20</v>
      </c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</row>
    <row r="62" spans="1:32" x14ac:dyDescent="0.25">
      <c r="A62" s="14"/>
      <c r="B62" s="5">
        <v>45334</v>
      </c>
      <c r="C62" s="12">
        <v>30</v>
      </c>
      <c r="D62" s="11">
        <v>3</v>
      </c>
      <c r="E62" s="224" t="s">
        <v>44</v>
      </c>
      <c r="F62" s="11" t="s">
        <v>72</v>
      </c>
      <c r="G62" s="12" t="s">
        <v>73</v>
      </c>
      <c r="H62" s="11">
        <v>6</v>
      </c>
      <c r="I62" s="1" t="s">
        <v>54</v>
      </c>
      <c r="J62" s="7">
        <v>10</v>
      </c>
      <c r="K62" s="8">
        <v>45334</v>
      </c>
      <c r="L62" s="73" t="s">
        <v>203</v>
      </c>
      <c r="M62" s="75">
        <v>20</v>
      </c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</row>
    <row r="63" spans="1:32" x14ac:dyDescent="0.25">
      <c r="A63" s="14"/>
      <c r="B63" s="5">
        <v>45334</v>
      </c>
      <c r="C63" s="12">
        <v>31</v>
      </c>
      <c r="D63" s="11">
        <v>3</v>
      </c>
      <c r="E63" s="224" t="s">
        <v>44</v>
      </c>
      <c r="F63" s="11" t="s">
        <v>72</v>
      </c>
      <c r="G63" s="12" t="s">
        <v>73</v>
      </c>
      <c r="H63" s="11">
        <v>6</v>
      </c>
      <c r="I63" s="1" t="s">
        <v>54</v>
      </c>
      <c r="J63" s="7">
        <v>10</v>
      </c>
      <c r="K63" s="8">
        <v>45334</v>
      </c>
      <c r="L63" s="73" t="s">
        <v>203</v>
      </c>
      <c r="M63" s="75">
        <v>20</v>
      </c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</row>
    <row r="64" spans="1:32" x14ac:dyDescent="0.25">
      <c r="A64" s="14"/>
      <c r="B64" s="5">
        <v>45334</v>
      </c>
      <c r="C64" s="12">
        <v>32</v>
      </c>
      <c r="D64" s="11">
        <v>3</v>
      </c>
      <c r="E64" s="224" t="s">
        <v>44</v>
      </c>
      <c r="F64" s="11" t="s">
        <v>72</v>
      </c>
      <c r="G64" s="12" t="s">
        <v>73</v>
      </c>
      <c r="H64" s="11">
        <v>6</v>
      </c>
      <c r="I64" s="1" t="s">
        <v>54</v>
      </c>
      <c r="J64" s="7">
        <v>10</v>
      </c>
      <c r="K64" s="8">
        <v>45334</v>
      </c>
      <c r="L64" s="73" t="s">
        <v>203</v>
      </c>
      <c r="M64" s="75">
        <v>20</v>
      </c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</row>
    <row r="65" spans="1:32" x14ac:dyDescent="0.25">
      <c r="A65" s="14"/>
      <c r="B65" s="5">
        <v>45334</v>
      </c>
      <c r="C65" s="12">
        <v>33</v>
      </c>
      <c r="D65" s="11">
        <v>3</v>
      </c>
      <c r="E65" s="224" t="s">
        <v>44</v>
      </c>
      <c r="F65" s="11" t="s">
        <v>72</v>
      </c>
      <c r="G65" s="12" t="s">
        <v>73</v>
      </c>
      <c r="H65" s="11">
        <v>6</v>
      </c>
      <c r="I65" s="1" t="s">
        <v>54</v>
      </c>
      <c r="J65" s="7">
        <v>10</v>
      </c>
      <c r="K65" s="8">
        <v>45334</v>
      </c>
      <c r="L65" s="73" t="s">
        <v>203</v>
      </c>
      <c r="M65" s="75">
        <v>20</v>
      </c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</row>
    <row r="66" spans="1:32" x14ac:dyDescent="0.25">
      <c r="A66" s="14"/>
      <c r="B66" s="5">
        <v>45334</v>
      </c>
      <c r="C66" s="12">
        <v>34</v>
      </c>
      <c r="D66" s="11">
        <v>3</v>
      </c>
      <c r="E66" s="224" t="s">
        <v>44</v>
      </c>
      <c r="F66" s="11" t="s">
        <v>72</v>
      </c>
      <c r="G66" s="12" t="s">
        <v>73</v>
      </c>
      <c r="H66" s="11">
        <v>6</v>
      </c>
      <c r="I66" s="1" t="s">
        <v>54</v>
      </c>
      <c r="J66" s="7">
        <v>10</v>
      </c>
      <c r="K66" s="8">
        <v>45334</v>
      </c>
      <c r="L66" s="73" t="s">
        <v>203</v>
      </c>
      <c r="M66" s="75">
        <v>20</v>
      </c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</row>
    <row r="67" spans="1:32" x14ac:dyDescent="0.25">
      <c r="A67" s="14"/>
      <c r="B67" s="5">
        <v>45334</v>
      </c>
      <c r="C67" s="12">
        <v>35</v>
      </c>
      <c r="D67" s="11">
        <v>3</v>
      </c>
      <c r="E67" s="224" t="s">
        <v>44</v>
      </c>
      <c r="F67" s="11" t="s">
        <v>72</v>
      </c>
      <c r="G67" s="12" t="s">
        <v>73</v>
      </c>
      <c r="H67" s="11">
        <v>6</v>
      </c>
      <c r="I67" s="1" t="s">
        <v>54</v>
      </c>
      <c r="J67" s="7">
        <v>10</v>
      </c>
      <c r="K67" s="8">
        <v>45334</v>
      </c>
      <c r="L67" s="73" t="s">
        <v>203</v>
      </c>
      <c r="M67" s="75">
        <v>20</v>
      </c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</row>
    <row r="68" spans="1:32" x14ac:dyDescent="0.25">
      <c r="A68" s="14"/>
      <c r="B68" s="5">
        <v>45334</v>
      </c>
      <c r="C68" s="12">
        <v>36</v>
      </c>
      <c r="D68" s="11">
        <v>3</v>
      </c>
      <c r="E68" s="224" t="s">
        <v>44</v>
      </c>
      <c r="F68" s="11" t="s">
        <v>72</v>
      </c>
      <c r="G68" s="12" t="s">
        <v>73</v>
      </c>
      <c r="H68" s="11">
        <v>6</v>
      </c>
      <c r="I68" s="1" t="s">
        <v>54</v>
      </c>
      <c r="J68" s="7">
        <v>10</v>
      </c>
      <c r="K68" s="8">
        <v>45334</v>
      </c>
      <c r="L68" s="73" t="s">
        <v>203</v>
      </c>
      <c r="M68" s="75">
        <v>20</v>
      </c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</row>
    <row r="69" spans="1:32" x14ac:dyDescent="0.25">
      <c r="A69" s="14"/>
      <c r="B69" s="5">
        <v>45334</v>
      </c>
      <c r="C69" s="12">
        <v>37</v>
      </c>
      <c r="D69" s="11">
        <v>3</v>
      </c>
      <c r="E69" s="224" t="s">
        <v>44</v>
      </c>
      <c r="F69" s="11" t="s">
        <v>72</v>
      </c>
      <c r="G69" s="12" t="s">
        <v>73</v>
      </c>
      <c r="H69" s="11">
        <v>6</v>
      </c>
      <c r="I69" s="1" t="s">
        <v>54</v>
      </c>
      <c r="J69" s="7">
        <v>10</v>
      </c>
      <c r="K69" s="8">
        <v>45334</v>
      </c>
      <c r="L69" s="73" t="s">
        <v>203</v>
      </c>
      <c r="M69" s="75">
        <v>20</v>
      </c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</row>
    <row r="70" spans="1:32" x14ac:dyDescent="0.25">
      <c r="A70" s="14"/>
      <c r="B70" s="5">
        <v>45334</v>
      </c>
      <c r="C70" s="12">
        <v>38</v>
      </c>
      <c r="D70" s="11">
        <v>3</v>
      </c>
      <c r="E70" s="224" t="s">
        <v>44</v>
      </c>
      <c r="F70" s="11" t="s">
        <v>72</v>
      </c>
      <c r="G70" s="12" t="s">
        <v>73</v>
      </c>
      <c r="H70" s="11">
        <v>6</v>
      </c>
      <c r="I70" s="1" t="s">
        <v>54</v>
      </c>
      <c r="J70" s="7">
        <v>10</v>
      </c>
      <c r="K70" s="8">
        <v>45334</v>
      </c>
      <c r="L70" s="73" t="s">
        <v>203</v>
      </c>
      <c r="M70" s="75">
        <v>20</v>
      </c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</row>
    <row r="71" spans="1:32" x14ac:dyDescent="0.25">
      <c r="A71" s="14"/>
      <c r="B71" s="5">
        <v>45334</v>
      </c>
      <c r="C71" s="12">
        <v>39</v>
      </c>
      <c r="D71" s="11">
        <v>3</v>
      </c>
      <c r="E71" s="224" t="s">
        <v>44</v>
      </c>
      <c r="F71" s="11" t="s">
        <v>72</v>
      </c>
      <c r="G71" s="12" t="s">
        <v>73</v>
      </c>
      <c r="H71" s="11">
        <v>6</v>
      </c>
      <c r="I71" s="1" t="s">
        <v>54</v>
      </c>
      <c r="J71" s="7">
        <v>10</v>
      </c>
      <c r="K71" s="8">
        <v>45334</v>
      </c>
      <c r="L71" s="73" t="s">
        <v>203</v>
      </c>
      <c r="M71" s="75">
        <v>20</v>
      </c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</row>
    <row r="72" spans="1:32" x14ac:dyDescent="0.25">
      <c r="A72" s="14"/>
      <c r="B72" s="5">
        <v>45334</v>
      </c>
      <c r="C72" s="12">
        <v>40</v>
      </c>
      <c r="D72" s="11">
        <v>3</v>
      </c>
      <c r="E72" s="224" t="s">
        <v>44</v>
      </c>
      <c r="F72" s="11" t="s">
        <v>72</v>
      </c>
      <c r="G72" s="12" t="s">
        <v>73</v>
      </c>
      <c r="H72" s="11">
        <v>6</v>
      </c>
      <c r="I72" s="1" t="s">
        <v>54</v>
      </c>
      <c r="J72" s="7">
        <v>10</v>
      </c>
      <c r="K72" s="8">
        <v>45334</v>
      </c>
      <c r="L72" s="73" t="s">
        <v>203</v>
      </c>
      <c r="M72" s="75">
        <v>20</v>
      </c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</row>
    <row r="73" spans="1:32" x14ac:dyDescent="0.25">
      <c r="A73" s="14"/>
      <c r="B73" s="5">
        <v>45334</v>
      </c>
      <c r="C73" s="12">
        <v>41</v>
      </c>
      <c r="D73" s="11">
        <v>3</v>
      </c>
      <c r="E73" s="224" t="s">
        <v>44</v>
      </c>
      <c r="F73" s="11" t="s">
        <v>72</v>
      </c>
      <c r="G73" s="12" t="s">
        <v>73</v>
      </c>
      <c r="H73" s="11">
        <v>6</v>
      </c>
      <c r="I73" s="1" t="s">
        <v>54</v>
      </c>
      <c r="J73" s="7">
        <v>10</v>
      </c>
      <c r="K73" s="8">
        <v>45334</v>
      </c>
      <c r="L73" s="73" t="s">
        <v>203</v>
      </c>
      <c r="M73" s="75">
        <v>200</v>
      </c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</row>
    <row r="74" spans="1:32" x14ac:dyDescent="0.25">
      <c r="A74" s="14"/>
      <c r="B74" s="5">
        <v>45363</v>
      </c>
      <c r="C74" s="12">
        <v>42</v>
      </c>
      <c r="D74" s="11">
        <v>3</v>
      </c>
      <c r="E74" s="224" t="s">
        <v>44</v>
      </c>
      <c r="F74" s="11" t="s">
        <v>72</v>
      </c>
      <c r="G74" s="12" t="s">
        <v>73</v>
      </c>
      <c r="H74" s="11">
        <v>6</v>
      </c>
      <c r="I74" s="1" t="s">
        <v>54</v>
      </c>
      <c r="J74" s="7">
        <v>10</v>
      </c>
      <c r="K74" s="8">
        <v>45363</v>
      </c>
      <c r="L74" s="73" t="s">
        <v>203</v>
      </c>
      <c r="M74" s="75">
        <v>350</v>
      </c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</row>
    <row r="75" spans="1:32" x14ac:dyDescent="0.25">
      <c r="A75" s="14"/>
      <c r="B75" s="5">
        <v>45341</v>
      </c>
      <c r="C75" s="12">
        <v>43</v>
      </c>
      <c r="D75" s="11">
        <v>1</v>
      </c>
      <c r="E75" s="224" t="s">
        <v>48</v>
      </c>
      <c r="F75" s="11" t="s">
        <v>49</v>
      </c>
      <c r="G75" s="12" t="s">
        <v>50</v>
      </c>
      <c r="H75" s="11">
        <v>2</v>
      </c>
      <c r="I75" s="1" t="s">
        <v>118</v>
      </c>
      <c r="J75" s="7">
        <v>5</v>
      </c>
      <c r="K75" s="8">
        <v>45345</v>
      </c>
      <c r="L75" s="73" t="s">
        <v>203</v>
      </c>
      <c r="M75" s="75">
        <v>15</v>
      </c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</row>
    <row r="76" spans="1:32" x14ac:dyDescent="0.25">
      <c r="A76" s="14"/>
      <c r="B76" s="5">
        <v>45341</v>
      </c>
      <c r="C76" s="12">
        <v>44</v>
      </c>
      <c r="D76" s="11">
        <v>1</v>
      </c>
      <c r="E76" s="224" t="s">
        <v>48</v>
      </c>
      <c r="F76" s="11" t="s">
        <v>49</v>
      </c>
      <c r="G76" s="12" t="s">
        <v>50</v>
      </c>
      <c r="H76" s="11">
        <v>2</v>
      </c>
      <c r="I76" s="1" t="s">
        <v>118</v>
      </c>
      <c r="J76" s="7">
        <v>5</v>
      </c>
      <c r="K76" s="8">
        <v>45345</v>
      </c>
      <c r="L76" s="73" t="s">
        <v>203</v>
      </c>
      <c r="M76" s="75">
        <v>15</v>
      </c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</row>
    <row r="77" spans="1:32" x14ac:dyDescent="0.25">
      <c r="A77" s="14"/>
      <c r="B77" s="5">
        <v>45341</v>
      </c>
      <c r="C77" s="12">
        <v>45</v>
      </c>
      <c r="D77" s="11">
        <v>1</v>
      </c>
      <c r="E77" s="224" t="s">
        <v>48</v>
      </c>
      <c r="F77" s="11" t="s">
        <v>49</v>
      </c>
      <c r="G77" s="12" t="s">
        <v>50</v>
      </c>
      <c r="H77" s="11">
        <v>2</v>
      </c>
      <c r="I77" s="1" t="s">
        <v>118</v>
      </c>
      <c r="J77" s="7">
        <v>5</v>
      </c>
      <c r="K77" s="8">
        <v>45345</v>
      </c>
      <c r="L77" s="73" t="s">
        <v>203</v>
      </c>
      <c r="M77" s="75">
        <v>15</v>
      </c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</row>
    <row r="78" spans="1:32" x14ac:dyDescent="0.25">
      <c r="A78" s="14"/>
      <c r="B78" s="5">
        <v>45341</v>
      </c>
      <c r="C78" s="12">
        <v>46</v>
      </c>
      <c r="D78" s="11">
        <v>2</v>
      </c>
      <c r="E78" s="224" t="s">
        <v>44</v>
      </c>
      <c r="F78" s="11" t="s">
        <v>52</v>
      </c>
      <c r="G78" s="12" t="s">
        <v>53</v>
      </c>
      <c r="H78" s="11">
        <v>8</v>
      </c>
      <c r="I78" s="1" t="s">
        <v>121</v>
      </c>
      <c r="J78" s="7">
        <v>8</v>
      </c>
      <c r="K78" s="8">
        <v>45345</v>
      </c>
      <c r="L78" s="73" t="s">
        <v>203</v>
      </c>
      <c r="M78" s="75">
        <v>18</v>
      </c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</row>
    <row r="79" spans="1:32" x14ac:dyDescent="0.25">
      <c r="A79" s="14"/>
      <c r="B79" s="5">
        <v>45341</v>
      </c>
      <c r="C79" s="12">
        <v>47</v>
      </c>
      <c r="D79" s="11">
        <v>2</v>
      </c>
      <c r="E79" s="224" t="s">
        <v>44</v>
      </c>
      <c r="F79" s="11" t="s">
        <v>52</v>
      </c>
      <c r="G79" s="12" t="s">
        <v>53</v>
      </c>
      <c r="H79" s="11">
        <v>8</v>
      </c>
      <c r="I79" s="1" t="s">
        <v>121</v>
      </c>
      <c r="J79" s="7">
        <v>8</v>
      </c>
      <c r="K79" s="8">
        <v>45345</v>
      </c>
      <c r="L79" s="73" t="s">
        <v>203</v>
      </c>
      <c r="M79" s="75">
        <v>18</v>
      </c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</row>
    <row r="80" spans="1:32" x14ac:dyDescent="0.25">
      <c r="A80" s="14"/>
      <c r="B80" s="5">
        <v>45341</v>
      </c>
      <c r="C80" s="12">
        <v>48</v>
      </c>
      <c r="D80" s="11">
        <v>2</v>
      </c>
      <c r="E80" s="224" t="s">
        <v>44</v>
      </c>
      <c r="F80" s="11" t="s">
        <v>52</v>
      </c>
      <c r="G80" s="12" t="s">
        <v>53</v>
      </c>
      <c r="H80" s="11">
        <v>8</v>
      </c>
      <c r="I80" s="1" t="s">
        <v>121</v>
      </c>
      <c r="J80" s="7">
        <v>8</v>
      </c>
      <c r="K80" s="8">
        <v>45345</v>
      </c>
      <c r="L80" s="73" t="s">
        <v>203</v>
      </c>
      <c r="M80" s="75">
        <v>18</v>
      </c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</row>
    <row r="81" spans="1:32" x14ac:dyDescent="0.25">
      <c r="A81" s="14"/>
      <c r="B81" s="5">
        <v>45341</v>
      </c>
      <c r="C81" s="12">
        <v>49</v>
      </c>
      <c r="D81" s="11">
        <v>5</v>
      </c>
      <c r="E81" s="224" t="s">
        <v>78</v>
      </c>
      <c r="F81" s="11" t="s">
        <v>85</v>
      </c>
      <c r="G81" s="12" t="s">
        <v>86</v>
      </c>
      <c r="H81" s="11">
        <v>10</v>
      </c>
      <c r="I81" s="1" t="s">
        <v>123</v>
      </c>
      <c r="J81" s="7">
        <v>8</v>
      </c>
      <c r="K81" s="8">
        <v>45345</v>
      </c>
      <c r="L81" s="73" t="s">
        <v>203</v>
      </c>
      <c r="M81" s="75">
        <v>18</v>
      </c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</row>
    <row r="82" spans="1:32" x14ac:dyDescent="0.25">
      <c r="A82" s="14"/>
      <c r="B82" s="5">
        <v>45341</v>
      </c>
      <c r="C82" s="12">
        <v>50</v>
      </c>
      <c r="D82" s="11">
        <v>5</v>
      </c>
      <c r="E82" s="224" t="s">
        <v>78</v>
      </c>
      <c r="F82" s="11" t="s">
        <v>85</v>
      </c>
      <c r="G82" s="12" t="s">
        <v>86</v>
      </c>
      <c r="H82" s="11">
        <v>10</v>
      </c>
      <c r="I82" s="1" t="s">
        <v>123</v>
      </c>
      <c r="J82" s="7">
        <v>8</v>
      </c>
      <c r="K82" s="8">
        <v>45345</v>
      </c>
      <c r="L82" s="73" t="s">
        <v>203</v>
      </c>
      <c r="M82" s="75">
        <v>18</v>
      </c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</row>
    <row r="83" spans="1:32" x14ac:dyDescent="0.25">
      <c r="A83" s="14"/>
      <c r="B83" s="5">
        <v>45341</v>
      </c>
      <c r="C83" s="12">
        <v>51</v>
      </c>
      <c r="D83" s="11">
        <v>5</v>
      </c>
      <c r="E83" s="224" t="s">
        <v>78</v>
      </c>
      <c r="F83" s="11" t="s">
        <v>85</v>
      </c>
      <c r="G83" s="12" t="s">
        <v>86</v>
      </c>
      <c r="H83" s="11">
        <v>10</v>
      </c>
      <c r="I83" s="1" t="s">
        <v>123</v>
      </c>
      <c r="J83" s="7">
        <v>8</v>
      </c>
      <c r="K83" s="8">
        <v>45345</v>
      </c>
      <c r="L83" s="73" t="s">
        <v>203</v>
      </c>
      <c r="M83" s="75">
        <v>18</v>
      </c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</row>
    <row r="84" spans="1:32" x14ac:dyDescent="0.25">
      <c r="A84" s="14"/>
      <c r="B84" s="5">
        <v>45341</v>
      </c>
      <c r="C84" s="12">
        <v>52</v>
      </c>
      <c r="D84" s="11">
        <v>5</v>
      </c>
      <c r="E84" s="224" t="s">
        <v>78</v>
      </c>
      <c r="F84" s="11" t="s">
        <v>85</v>
      </c>
      <c r="G84" s="12" t="s">
        <v>86</v>
      </c>
      <c r="H84" s="11">
        <v>10</v>
      </c>
      <c r="I84" s="1" t="s">
        <v>123</v>
      </c>
      <c r="J84" s="7">
        <v>8</v>
      </c>
      <c r="K84" s="8">
        <v>45345</v>
      </c>
      <c r="L84" s="73" t="s">
        <v>203</v>
      </c>
      <c r="M84" s="75">
        <v>18</v>
      </c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</row>
    <row r="85" spans="1:32" x14ac:dyDescent="0.25">
      <c r="A85" s="14"/>
      <c r="B85" s="5">
        <v>45341</v>
      </c>
      <c r="C85" s="12">
        <v>53</v>
      </c>
      <c r="D85" s="11">
        <v>5</v>
      </c>
      <c r="E85" s="224" t="s">
        <v>78</v>
      </c>
      <c r="F85" s="11" t="s">
        <v>85</v>
      </c>
      <c r="G85" s="12" t="s">
        <v>86</v>
      </c>
      <c r="H85" s="11">
        <v>10</v>
      </c>
      <c r="I85" s="1" t="s">
        <v>123</v>
      </c>
      <c r="J85" s="7">
        <v>8</v>
      </c>
      <c r="K85" s="8">
        <v>45345</v>
      </c>
      <c r="L85" s="73" t="s">
        <v>203</v>
      </c>
      <c r="M85" s="75">
        <v>18</v>
      </c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</row>
    <row r="86" spans="1:32" x14ac:dyDescent="0.25">
      <c r="A86" s="14"/>
      <c r="B86" s="5">
        <v>45341</v>
      </c>
      <c r="C86" s="12">
        <v>54</v>
      </c>
      <c r="D86" s="11">
        <v>5</v>
      </c>
      <c r="E86" s="224" t="s">
        <v>78</v>
      </c>
      <c r="F86" s="11" t="s">
        <v>85</v>
      </c>
      <c r="G86" s="12" t="s">
        <v>86</v>
      </c>
      <c r="H86" s="11">
        <v>10</v>
      </c>
      <c r="I86" s="1" t="s">
        <v>123</v>
      </c>
      <c r="J86" s="7">
        <v>8</v>
      </c>
      <c r="K86" s="8">
        <v>45345</v>
      </c>
      <c r="L86" s="73" t="s">
        <v>203</v>
      </c>
      <c r="M86" s="75">
        <v>18</v>
      </c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</row>
    <row r="87" spans="1:32" x14ac:dyDescent="0.25">
      <c r="A87" s="14"/>
      <c r="B87" s="5">
        <v>45341</v>
      </c>
      <c r="C87" s="12">
        <v>55</v>
      </c>
      <c r="D87" s="11">
        <v>5</v>
      </c>
      <c r="E87" s="224" t="s">
        <v>78</v>
      </c>
      <c r="F87" s="11" t="s">
        <v>85</v>
      </c>
      <c r="G87" s="12" t="s">
        <v>86</v>
      </c>
      <c r="H87" s="11">
        <v>10</v>
      </c>
      <c r="I87" s="1" t="s">
        <v>123</v>
      </c>
      <c r="J87" s="7">
        <v>8</v>
      </c>
      <c r="K87" s="8">
        <v>45345</v>
      </c>
      <c r="L87" s="73" t="s">
        <v>203</v>
      </c>
      <c r="M87" s="75">
        <v>18</v>
      </c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</row>
    <row r="88" spans="1:32" x14ac:dyDescent="0.25">
      <c r="A88" s="14"/>
      <c r="B88" s="5">
        <v>45348</v>
      </c>
      <c r="C88" s="12">
        <v>56</v>
      </c>
      <c r="D88" s="11">
        <v>5</v>
      </c>
      <c r="E88" s="224" t="s">
        <v>78</v>
      </c>
      <c r="F88" s="11" t="s">
        <v>85</v>
      </c>
      <c r="G88" s="12" t="s">
        <v>86</v>
      </c>
      <c r="H88" s="11">
        <v>3</v>
      </c>
      <c r="I88" s="1" t="s">
        <v>119</v>
      </c>
      <c r="J88" s="7">
        <v>5</v>
      </c>
      <c r="K88" s="8">
        <v>45352</v>
      </c>
      <c r="L88" s="73" t="s">
        <v>202</v>
      </c>
      <c r="M88" s="75">
        <v>14.25</v>
      </c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</row>
    <row r="89" spans="1:32" x14ac:dyDescent="0.25">
      <c r="A89" s="14"/>
      <c r="B89" s="5">
        <v>45348</v>
      </c>
      <c r="C89" s="12">
        <v>57</v>
      </c>
      <c r="D89" s="11">
        <v>5</v>
      </c>
      <c r="E89" s="224" t="s">
        <v>78</v>
      </c>
      <c r="F89" s="11" t="s">
        <v>85</v>
      </c>
      <c r="G89" s="12" t="s">
        <v>86</v>
      </c>
      <c r="H89" s="11">
        <v>7</v>
      </c>
      <c r="I89" s="1" t="s">
        <v>51</v>
      </c>
      <c r="J89" s="7">
        <v>9</v>
      </c>
      <c r="K89" s="8">
        <v>45351</v>
      </c>
      <c r="L89" s="73" t="s">
        <v>202</v>
      </c>
      <c r="M89" s="75">
        <v>18.05</v>
      </c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</row>
    <row r="90" spans="1:32" x14ac:dyDescent="0.25">
      <c r="A90" s="14"/>
      <c r="B90" s="5">
        <v>45348</v>
      </c>
      <c r="C90" s="12">
        <v>58</v>
      </c>
      <c r="D90" s="11">
        <v>5</v>
      </c>
      <c r="E90" s="224" t="s">
        <v>78</v>
      </c>
      <c r="F90" s="11" t="s">
        <v>85</v>
      </c>
      <c r="G90" s="12" t="s">
        <v>86</v>
      </c>
      <c r="H90" s="11">
        <v>2</v>
      </c>
      <c r="I90" s="1" t="s">
        <v>118</v>
      </c>
      <c r="J90" s="7">
        <v>5</v>
      </c>
      <c r="K90" s="8">
        <v>45351</v>
      </c>
      <c r="L90" s="73" t="s">
        <v>202</v>
      </c>
      <c r="M90" s="75">
        <v>14.25</v>
      </c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</row>
    <row r="91" spans="1:32" x14ac:dyDescent="0.25">
      <c r="A91" s="14"/>
      <c r="B91" s="5">
        <v>45349</v>
      </c>
      <c r="C91" s="12">
        <v>59</v>
      </c>
      <c r="D91" s="11">
        <v>5</v>
      </c>
      <c r="E91" s="224" t="s">
        <v>78</v>
      </c>
      <c r="F91" s="11" t="s">
        <v>85</v>
      </c>
      <c r="G91" s="12" t="s">
        <v>86</v>
      </c>
      <c r="H91" s="11">
        <v>2</v>
      </c>
      <c r="I91" s="1" t="s">
        <v>118</v>
      </c>
      <c r="J91" s="7">
        <v>5</v>
      </c>
      <c r="K91" s="8">
        <v>45355</v>
      </c>
      <c r="L91" s="73" t="s">
        <v>202</v>
      </c>
      <c r="M91" s="75">
        <v>14.25</v>
      </c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</row>
    <row r="92" spans="1:32" x14ac:dyDescent="0.25">
      <c r="A92" s="14"/>
      <c r="B92" s="5">
        <v>45349</v>
      </c>
      <c r="C92" s="12">
        <v>60</v>
      </c>
      <c r="D92" s="11">
        <v>8</v>
      </c>
      <c r="E92" s="224" t="s">
        <v>48</v>
      </c>
      <c r="F92" s="11" t="s">
        <v>103</v>
      </c>
      <c r="G92" s="12" t="s">
        <v>104</v>
      </c>
      <c r="H92" s="11">
        <v>8</v>
      </c>
      <c r="I92" s="1" t="s">
        <v>121</v>
      </c>
      <c r="J92" s="7">
        <v>8</v>
      </c>
      <c r="K92" s="8">
        <v>45354</v>
      </c>
      <c r="L92" s="73" t="s">
        <v>205</v>
      </c>
      <c r="M92" s="75">
        <v>18</v>
      </c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</row>
    <row r="93" spans="1:32" x14ac:dyDescent="0.25">
      <c r="A93" s="14"/>
      <c r="B93" s="5">
        <v>45349</v>
      </c>
      <c r="C93" s="12">
        <v>61</v>
      </c>
      <c r="D93" s="11">
        <v>9</v>
      </c>
      <c r="E93" s="224" t="s">
        <v>44</v>
      </c>
      <c r="F93" s="11" t="s">
        <v>45</v>
      </c>
      <c r="G93" s="12" t="s">
        <v>46</v>
      </c>
      <c r="H93" s="11">
        <v>7</v>
      </c>
      <c r="I93" s="1" t="s">
        <v>51</v>
      </c>
      <c r="J93" s="7">
        <v>9</v>
      </c>
      <c r="K93" s="8">
        <v>45349</v>
      </c>
      <c r="L93" s="73" t="s">
        <v>202</v>
      </c>
      <c r="M93" s="75">
        <v>18.05</v>
      </c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</row>
    <row r="94" spans="1:32" x14ac:dyDescent="0.25">
      <c r="A94" s="14"/>
      <c r="B94" s="5">
        <v>45349</v>
      </c>
      <c r="C94" s="12">
        <v>62</v>
      </c>
      <c r="D94" s="11">
        <v>9</v>
      </c>
      <c r="E94" s="224" t="s">
        <v>44</v>
      </c>
      <c r="F94" s="11" t="s">
        <v>45</v>
      </c>
      <c r="G94" s="12" t="s">
        <v>46</v>
      </c>
      <c r="H94" s="11">
        <v>9</v>
      </c>
      <c r="I94" s="1" t="s">
        <v>122</v>
      </c>
      <c r="J94" s="7">
        <v>7</v>
      </c>
      <c r="K94" s="8">
        <v>45349</v>
      </c>
      <c r="L94" s="73" t="s">
        <v>206</v>
      </c>
      <c r="M94" s="75">
        <v>17</v>
      </c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</row>
    <row r="95" spans="1:32" x14ac:dyDescent="0.25">
      <c r="A95" s="14"/>
      <c r="B95" s="5">
        <v>45353</v>
      </c>
      <c r="C95" s="12">
        <v>63</v>
      </c>
      <c r="D95" s="11">
        <v>4</v>
      </c>
      <c r="E95" s="224" t="s">
        <v>78</v>
      </c>
      <c r="F95" s="11" t="s">
        <v>79</v>
      </c>
      <c r="G95" s="12" t="s">
        <v>80</v>
      </c>
      <c r="H95" s="11">
        <v>7</v>
      </c>
      <c r="I95" s="1" t="s">
        <v>51</v>
      </c>
      <c r="J95" s="7">
        <v>9</v>
      </c>
      <c r="K95" s="8">
        <v>45357</v>
      </c>
      <c r="L95" s="73" t="s">
        <v>580</v>
      </c>
      <c r="M95" s="75">
        <v>19</v>
      </c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</row>
    <row r="96" spans="1:32" x14ac:dyDescent="0.25">
      <c r="A96" s="14"/>
      <c r="B96" s="5">
        <v>45353</v>
      </c>
      <c r="C96" s="12">
        <v>64</v>
      </c>
      <c r="D96" s="11">
        <v>5</v>
      </c>
      <c r="E96" s="224" t="s">
        <v>78</v>
      </c>
      <c r="F96" s="11" t="s">
        <v>85</v>
      </c>
      <c r="G96" s="12" t="s">
        <v>86</v>
      </c>
      <c r="H96" s="11">
        <v>7</v>
      </c>
      <c r="I96" s="1" t="s">
        <v>51</v>
      </c>
      <c r="J96" s="7">
        <v>9</v>
      </c>
      <c r="K96" s="8">
        <v>45358</v>
      </c>
      <c r="L96" s="73" t="s">
        <v>205</v>
      </c>
      <c r="M96" s="75">
        <v>19</v>
      </c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</row>
    <row r="97" spans="1:32" x14ac:dyDescent="0.25">
      <c r="A97" s="14"/>
      <c r="B97" s="5">
        <v>45353</v>
      </c>
      <c r="C97" s="12">
        <v>65</v>
      </c>
      <c r="D97" s="11">
        <v>6</v>
      </c>
      <c r="E97" s="224" t="s">
        <v>48</v>
      </c>
      <c r="F97" s="11" t="s">
        <v>91</v>
      </c>
      <c r="G97" s="12" t="s">
        <v>92</v>
      </c>
      <c r="H97" s="11">
        <v>9</v>
      </c>
      <c r="I97" s="1" t="s">
        <v>122</v>
      </c>
      <c r="J97" s="7">
        <v>7</v>
      </c>
      <c r="K97" s="8">
        <v>45359</v>
      </c>
      <c r="L97" s="73" t="s">
        <v>580</v>
      </c>
      <c r="M97" s="75">
        <v>17</v>
      </c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</row>
    <row r="98" spans="1:32" x14ac:dyDescent="0.25">
      <c r="A98" s="14"/>
      <c r="B98" s="5">
        <v>45353</v>
      </c>
      <c r="C98" s="12">
        <v>66</v>
      </c>
      <c r="D98" s="11">
        <v>2</v>
      </c>
      <c r="E98" s="224" t="s">
        <v>44</v>
      </c>
      <c r="F98" s="11" t="s">
        <v>52</v>
      </c>
      <c r="G98" s="12" t="s">
        <v>53</v>
      </c>
      <c r="H98" s="11">
        <v>1</v>
      </c>
      <c r="I98" s="1" t="s">
        <v>117</v>
      </c>
      <c r="J98" s="7">
        <v>8</v>
      </c>
      <c r="K98" s="8">
        <v>45358</v>
      </c>
      <c r="L98" s="73" t="s">
        <v>201</v>
      </c>
      <c r="M98" s="75">
        <v>17.100000000000001</v>
      </c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</row>
    <row r="99" spans="1:32" x14ac:dyDescent="0.25">
      <c r="A99" s="14"/>
      <c r="B99" s="5">
        <v>45353</v>
      </c>
      <c r="C99" s="12">
        <v>67</v>
      </c>
      <c r="D99" s="11">
        <v>2</v>
      </c>
      <c r="E99" s="224" t="s">
        <v>44</v>
      </c>
      <c r="F99" s="11" t="s">
        <v>52</v>
      </c>
      <c r="G99" s="12" t="s">
        <v>53</v>
      </c>
      <c r="H99" s="11">
        <v>2</v>
      </c>
      <c r="I99" s="1" t="s">
        <v>118</v>
      </c>
      <c r="J99" s="7">
        <v>5</v>
      </c>
      <c r="K99" s="8">
        <v>45358</v>
      </c>
      <c r="L99" s="73" t="s">
        <v>581</v>
      </c>
      <c r="M99" s="75">
        <v>14.25</v>
      </c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</row>
    <row r="100" spans="1:32" x14ac:dyDescent="0.25">
      <c r="A100" s="14"/>
      <c r="B100" s="5">
        <v>45353</v>
      </c>
      <c r="C100" s="12">
        <v>68</v>
      </c>
      <c r="D100" s="11">
        <v>3</v>
      </c>
      <c r="E100" s="224" t="s">
        <v>44</v>
      </c>
      <c r="F100" s="11" t="s">
        <v>72</v>
      </c>
      <c r="G100" s="12" t="s">
        <v>73</v>
      </c>
      <c r="H100" s="11">
        <v>3</v>
      </c>
      <c r="I100" s="1" t="s">
        <v>119</v>
      </c>
      <c r="J100" s="7">
        <v>5</v>
      </c>
      <c r="K100" s="8">
        <v>45358</v>
      </c>
      <c r="L100" s="73" t="s">
        <v>582</v>
      </c>
      <c r="M100" s="75">
        <v>14.25</v>
      </c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</row>
    <row r="101" spans="1:32" x14ac:dyDescent="0.25">
      <c r="A101" s="14"/>
      <c r="B101" s="5">
        <v>45353</v>
      </c>
      <c r="C101" s="12">
        <v>69</v>
      </c>
      <c r="D101" s="11">
        <v>4</v>
      </c>
      <c r="E101" s="224" t="s">
        <v>78</v>
      </c>
      <c r="F101" s="11" t="s">
        <v>79</v>
      </c>
      <c r="G101" s="12" t="s">
        <v>80</v>
      </c>
      <c r="H101" s="11">
        <v>3</v>
      </c>
      <c r="I101" s="1" t="s">
        <v>119</v>
      </c>
      <c r="J101" s="7">
        <v>5</v>
      </c>
      <c r="K101" s="8">
        <v>45358</v>
      </c>
      <c r="L101" s="73" t="s">
        <v>202</v>
      </c>
      <c r="M101" s="75">
        <v>14.25</v>
      </c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</row>
    <row r="102" spans="1:32" x14ac:dyDescent="0.25">
      <c r="A102" s="14"/>
      <c r="B102" s="5">
        <v>45353</v>
      </c>
      <c r="C102" s="12">
        <v>70</v>
      </c>
      <c r="D102" s="11">
        <v>4</v>
      </c>
      <c r="E102" s="224" t="s">
        <v>78</v>
      </c>
      <c r="F102" s="11" t="s">
        <v>79</v>
      </c>
      <c r="G102" s="12" t="s">
        <v>80</v>
      </c>
      <c r="H102" s="11">
        <v>3</v>
      </c>
      <c r="I102" s="1" t="s">
        <v>119</v>
      </c>
      <c r="J102" s="7">
        <v>5</v>
      </c>
      <c r="K102" s="8">
        <v>45358</v>
      </c>
      <c r="L102" s="73" t="s">
        <v>199</v>
      </c>
      <c r="M102" s="75">
        <v>15</v>
      </c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</row>
    <row r="103" spans="1:32" x14ac:dyDescent="0.25">
      <c r="A103" s="14"/>
      <c r="B103" s="5"/>
      <c r="C103" s="12"/>
      <c r="D103" s="11"/>
      <c r="E103" s="224"/>
      <c r="F103" s="11"/>
      <c r="G103" s="1"/>
      <c r="H103" s="11"/>
      <c r="I103" s="1"/>
      <c r="J103" s="7"/>
      <c r="K103" s="8"/>
      <c r="L103" s="73"/>
      <c r="M103" s="75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</row>
    <row r="104" spans="1:32" x14ac:dyDescent="0.25">
      <c r="A104" s="14"/>
      <c r="B104" s="5"/>
      <c r="C104" s="12"/>
      <c r="D104" s="11"/>
      <c r="E104" s="224"/>
      <c r="F104" s="11"/>
      <c r="G104" s="1"/>
      <c r="H104" s="11"/>
      <c r="I104" s="1"/>
      <c r="J104" s="7"/>
      <c r="K104" s="8"/>
      <c r="L104" s="73"/>
      <c r="M104" s="75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</row>
    <row r="105" spans="1:32" x14ac:dyDescent="0.25">
      <c r="A105" s="14"/>
      <c r="B105" s="5"/>
      <c r="C105" s="12"/>
      <c r="D105" s="11"/>
      <c r="E105" s="224"/>
      <c r="F105" s="11"/>
      <c r="G105" s="1"/>
      <c r="H105" s="11"/>
      <c r="I105" s="1"/>
      <c r="J105" s="7"/>
      <c r="K105" s="8"/>
      <c r="L105" s="230"/>
      <c r="M105" s="75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</row>
    <row r="106" spans="1:32" x14ac:dyDescent="0.25">
      <c r="A106" s="14"/>
      <c r="B106" s="5"/>
      <c r="C106" s="12"/>
      <c r="D106" s="11"/>
      <c r="E106" s="224"/>
      <c r="F106" s="11"/>
      <c r="G106" s="1"/>
      <c r="H106" s="11"/>
      <c r="I106" s="1"/>
      <c r="J106" s="7"/>
      <c r="K106" s="8"/>
      <c r="L106" s="230"/>
      <c r="M106" s="75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</row>
    <row r="107" spans="1:32" x14ac:dyDescent="0.25">
      <c r="A107" s="14"/>
      <c r="B107" s="5"/>
      <c r="C107" s="12"/>
      <c r="D107" s="11"/>
      <c r="E107" s="224"/>
      <c r="F107" s="11"/>
      <c r="G107" s="1"/>
      <c r="H107" s="11"/>
      <c r="I107" s="1"/>
      <c r="J107" s="7"/>
      <c r="K107" s="8"/>
      <c r="L107" s="230"/>
      <c r="M107" s="75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</row>
    <row r="108" spans="1:32" x14ac:dyDescent="0.25">
      <c r="A108" s="14"/>
      <c r="B108" s="5"/>
      <c r="C108" s="12"/>
      <c r="D108" s="11"/>
      <c r="E108" s="224"/>
      <c r="F108" s="11"/>
      <c r="G108" s="1"/>
      <c r="H108" s="11"/>
      <c r="I108" s="1"/>
      <c r="J108" s="7"/>
      <c r="K108" s="8"/>
      <c r="L108" s="230"/>
      <c r="M108" s="75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</row>
    <row r="109" spans="1:32" x14ac:dyDescent="0.25">
      <c r="A109" s="14"/>
      <c r="B109" s="5"/>
      <c r="C109" s="12"/>
      <c r="D109" s="11"/>
      <c r="E109" s="224"/>
      <c r="F109" s="11"/>
      <c r="G109" s="1"/>
      <c r="H109" s="11"/>
      <c r="I109" s="1"/>
      <c r="J109" s="7"/>
      <c r="K109" s="8"/>
      <c r="L109" s="230"/>
      <c r="M109" s="75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</row>
    <row r="110" spans="1:32" x14ac:dyDescent="0.25">
      <c r="A110" s="14"/>
      <c r="B110" s="5"/>
      <c r="C110" s="12"/>
      <c r="D110" s="11"/>
      <c r="E110" s="224"/>
      <c r="F110" s="11"/>
      <c r="G110" s="1"/>
      <c r="H110" s="11"/>
      <c r="I110" s="1"/>
      <c r="J110" s="7"/>
      <c r="K110" s="8"/>
      <c r="L110" s="230"/>
      <c r="M110" s="75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</row>
    <row r="111" spans="1:32" x14ac:dyDescent="0.25">
      <c r="A111" s="14"/>
      <c r="B111" s="5"/>
      <c r="C111" s="12"/>
      <c r="D111" s="11"/>
      <c r="E111" s="224"/>
      <c r="F111" s="11"/>
      <c r="G111" s="1"/>
      <c r="H111" s="11"/>
      <c r="I111" s="1"/>
      <c r="J111" s="7"/>
      <c r="K111" s="8"/>
      <c r="L111" s="230"/>
      <c r="M111" s="75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</row>
    <row r="112" spans="1:32" x14ac:dyDescent="0.25">
      <c r="A112" s="14"/>
      <c r="B112" s="5"/>
      <c r="C112" s="12"/>
      <c r="D112" s="11"/>
      <c r="E112" s="224"/>
      <c r="F112" s="11"/>
      <c r="G112" s="1"/>
      <c r="H112" s="11"/>
      <c r="I112" s="1"/>
      <c r="J112" s="7"/>
      <c r="K112" s="8"/>
      <c r="L112" s="230"/>
      <c r="M112" s="75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</row>
    <row r="113" spans="1:33" x14ac:dyDescent="0.25">
      <c r="A113" s="14"/>
      <c r="B113" s="5"/>
      <c r="C113" s="12"/>
      <c r="D113" s="11"/>
      <c r="E113" s="224"/>
      <c r="F113" s="11"/>
      <c r="G113" s="1"/>
      <c r="H113" s="11"/>
      <c r="I113" s="1"/>
      <c r="J113" s="7"/>
      <c r="K113" s="8"/>
      <c r="L113" s="230"/>
      <c r="M113" s="75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</row>
    <row r="114" spans="1:33" x14ac:dyDescent="0.25">
      <c r="A114" s="14"/>
      <c r="B114" s="5"/>
      <c r="C114" s="12"/>
      <c r="D114" s="11"/>
      <c r="E114" s="224"/>
      <c r="F114" s="11"/>
      <c r="G114" s="1"/>
      <c r="H114" s="11"/>
      <c r="I114" s="1"/>
      <c r="J114" s="7"/>
      <c r="K114" s="8"/>
      <c r="L114" s="230"/>
      <c r="M114" s="75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</row>
    <row r="115" spans="1:33" x14ac:dyDescent="0.25">
      <c r="A115" s="14"/>
      <c r="B115" s="5"/>
      <c r="C115" s="12"/>
      <c r="D115" s="11"/>
      <c r="E115" s="224"/>
      <c r="F115" s="11"/>
      <c r="G115" s="1"/>
      <c r="H115" s="11"/>
      <c r="I115" s="1"/>
      <c r="J115" s="7"/>
      <c r="K115" s="8"/>
      <c r="L115" s="230"/>
      <c r="M115" s="75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</row>
    <row r="116" spans="1:33" x14ac:dyDescent="0.25">
      <c r="A116" s="14"/>
      <c r="B116" s="5"/>
      <c r="C116" s="12"/>
      <c r="D116" s="11"/>
      <c r="E116" s="224"/>
      <c r="F116" s="11"/>
      <c r="G116" s="1"/>
      <c r="H116" s="11"/>
      <c r="I116" s="1"/>
      <c r="J116" s="7"/>
      <c r="K116" s="8"/>
      <c r="L116" s="230"/>
      <c r="M116" s="75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</row>
    <row r="117" spans="1:33" x14ac:dyDescent="0.25">
      <c r="A117" s="14"/>
      <c r="B117" s="5"/>
      <c r="C117" s="12"/>
      <c r="D117" s="11"/>
      <c r="E117" s="224"/>
      <c r="F117" s="11"/>
      <c r="G117" s="1"/>
      <c r="H117" s="11"/>
      <c r="I117" s="1"/>
      <c r="J117" s="7"/>
      <c r="K117" s="8"/>
      <c r="L117" s="230"/>
      <c r="M117" s="75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</row>
    <row r="118" spans="1:33" x14ac:dyDescent="0.25">
      <c r="A118" s="14"/>
      <c r="B118" s="5"/>
      <c r="C118" s="12"/>
      <c r="D118" s="11"/>
      <c r="E118" s="224"/>
      <c r="F118" s="11"/>
      <c r="G118" s="1"/>
      <c r="H118" s="11"/>
      <c r="I118" s="1"/>
      <c r="J118" s="7"/>
      <c r="K118" s="8"/>
      <c r="L118" s="230"/>
      <c r="M118" s="75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</row>
    <row r="119" spans="1:33" x14ac:dyDescent="0.25">
      <c r="A119" s="14"/>
      <c r="B119" s="5"/>
      <c r="C119" s="12"/>
      <c r="D119" s="11"/>
      <c r="E119" s="224"/>
      <c r="F119" s="11"/>
      <c r="G119" s="1"/>
      <c r="H119" s="11"/>
      <c r="I119" s="1"/>
      <c r="J119" s="7"/>
      <c r="K119" s="8"/>
      <c r="L119" s="230"/>
      <c r="M119" s="75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</row>
    <row r="120" spans="1:33" x14ac:dyDescent="0.25">
      <c r="A120" s="14"/>
      <c r="B120" s="5"/>
      <c r="C120" s="12"/>
      <c r="D120" s="11"/>
      <c r="E120" s="224"/>
      <c r="F120" s="11"/>
      <c r="G120" s="1"/>
      <c r="H120" s="11"/>
      <c r="I120" s="1"/>
      <c r="J120" s="7"/>
      <c r="K120" s="8"/>
      <c r="L120" s="230"/>
      <c r="M120" s="75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</row>
    <row r="121" spans="1:33" x14ac:dyDescent="0.25">
      <c r="A121" s="14"/>
      <c r="B121" s="5"/>
      <c r="C121" s="12"/>
      <c r="D121" s="11"/>
      <c r="E121" s="224"/>
      <c r="F121" s="11"/>
      <c r="G121" s="1"/>
      <c r="H121" s="11"/>
      <c r="I121" s="1"/>
      <c r="J121" s="7"/>
      <c r="K121" s="8"/>
      <c r="L121" s="230"/>
      <c r="M121" s="75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</row>
    <row r="122" spans="1:33" x14ac:dyDescent="0.25">
      <c r="A122" s="14"/>
      <c r="B122" s="5"/>
      <c r="C122" s="12"/>
      <c r="D122" s="11"/>
      <c r="E122" s="224"/>
      <c r="F122" s="11"/>
      <c r="G122" s="1"/>
      <c r="H122" s="11"/>
      <c r="I122" s="1"/>
      <c r="J122" s="7"/>
      <c r="K122" s="8"/>
      <c r="L122" s="230"/>
      <c r="M122" s="75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</row>
    <row r="123" spans="1:33" x14ac:dyDescent="0.25">
      <c r="A123" s="14"/>
      <c r="B123" s="5"/>
      <c r="C123" s="12"/>
      <c r="D123" s="11"/>
      <c r="E123" s="224"/>
      <c r="F123" s="11"/>
      <c r="G123" s="1"/>
      <c r="H123" s="11"/>
      <c r="I123" s="1"/>
      <c r="J123" s="7"/>
      <c r="K123" s="8"/>
      <c r="L123" s="230"/>
      <c r="M123" s="75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</row>
    <row r="124" spans="1:33" x14ac:dyDescent="0.25">
      <c r="A124" s="14"/>
      <c r="B124" s="5"/>
      <c r="C124" s="12"/>
      <c r="D124" s="11"/>
      <c r="E124" s="224"/>
      <c r="F124" s="11"/>
      <c r="G124" s="1"/>
      <c r="H124" s="11"/>
      <c r="I124" s="1"/>
      <c r="J124" s="7"/>
      <c r="K124" s="8"/>
      <c r="L124" s="230"/>
      <c r="M124" s="75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</row>
    <row r="125" spans="1:33" x14ac:dyDescent="0.25">
      <c r="A125" s="14"/>
      <c r="B125" s="5"/>
      <c r="C125" s="12"/>
      <c r="D125" s="11"/>
      <c r="E125" s="224"/>
      <c r="F125" s="11"/>
      <c r="G125" s="1"/>
      <c r="H125" s="11"/>
      <c r="I125" s="1"/>
      <c r="J125" s="7"/>
      <c r="K125" s="8"/>
      <c r="L125" s="230"/>
      <c r="M125" s="75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</row>
    <row r="126" spans="1:33" x14ac:dyDescent="0.25">
      <c r="A126" s="14"/>
      <c r="B126" s="5"/>
      <c r="C126" s="12"/>
      <c r="D126" s="11"/>
      <c r="E126" s="224"/>
      <c r="F126" s="11"/>
      <c r="G126" s="1"/>
      <c r="H126" s="11"/>
      <c r="I126" s="1"/>
      <c r="J126" s="7"/>
      <c r="K126" s="8"/>
      <c r="L126" s="230"/>
      <c r="M126" s="75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</row>
    <row r="127" spans="1:33" x14ac:dyDescent="0.25">
      <c r="A127" s="14"/>
      <c r="B127" s="5"/>
      <c r="C127" s="12"/>
      <c r="D127" s="11"/>
      <c r="E127" s="224"/>
      <c r="F127" s="11"/>
      <c r="G127" s="1"/>
      <c r="H127" s="11"/>
      <c r="I127" s="1"/>
      <c r="J127" s="7"/>
      <c r="K127" s="8"/>
      <c r="L127" s="230"/>
      <c r="M127" s="75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</row>
    <row r="128" spans="1:33" x14ac:dyDescent="0.25">
      <c r="A128" s="14"/>
      <c r="B128" s="5"/>
      <c r="C128" s="12"/>
      <c r="D128" s="11"/>
      <c r="E128" s="224"/>
      <c r="F128" s="11"/>
      <c r="G128" s="1"/>
      <c r="H128" s="11"/>
      <c r="I128" s="1"/>
      <c r="J128" s="7"/>
      <c r="K128" s="8"/>
      <c r="L128" s="230"/>
      <c r="M128" s="75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</row>
    <row r="129" spans="1:34" x14ac:dyDescent="0.25">
      <c r="A129" s="14"/>
      <c r="B129" s="5"/>
      <c r="C129" s="12"/>
      <c r="D129" s="11"/>
      <c r="E129" s="224"/>
      <c r="F129" s="11"/>
      <c r="G129" s="1"/>
      <c r="H129" s="11"/>
      <c r="I129" s="1"/>
      <c r="J129" s="7"/>
      <c r="K129" s="8"/>
      <c r="L129" s="230"/>
      <c r="M129" s="75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</row>
    <row r="130" spans="1:34" x14ac:dyDescent="0.25">
      <c r="A130" s="14"/>
      <c r="B130" s="5"/>
      <c r="C130" s="12"/>
      <c r="D130" s="11"/>
      <c r="E130" s="224"/>
      <c r="F130" s="11"/>
      <c r="G130" s="1"/>
      <c r="H130" s="11"/>
      <c r="I130" s="1"/>
      <c r="J130" s="7"/>
      <c r="K130" s="8"/>
      <c r="L130" s="230"/>
      <c r="M130" s="75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</row>
    <row r="131" spans="1:34" x14ac:dyDescent="0.25">
      <c r="A131" s="14"/>
      <c r="B131" s="5"/>
      <c r="C131" s="12"/>
      <c r="D131" s="11"/>
      <c r="E131" s="224"/>
      <c r="F131" s="11"/>
      <c r="G131" s="1"/>
      <c r="H131" s="11"/>
      <c r="I131" s="1"/>
      <c r="J131" s="7"/>
      <c r="K131" s="8"/>
      <c r="L131" s="230"/>
      <c r="M131" s="75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</row>
    <row r="132" spans="1:34" x14ac:dyDescent="0.25">
      <c r="A132" s="14"/>
      <c r="B132" s="5"/>
      <c r="C132" s="12"/>
      <c r="D132" s="11"/>
      <c r="E132" s="224"/>
      <c r="F132" s="11"/>
      <c r="G132" s="1"/>
      <c r="H132" s="11"/>
      <c r="I132" s="1"/>
      <c r="J132" s="7"/>
      <c r="K132" s="8"/>
      <c r="L132" s="230"/>
      <c r="M132" s="75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</row>
    <row r="133" spans="1:34" x14ac:dyDescent="0.25">
      <c r="A133" s="14"/>
      <c r="B133" s="5"/>
      <c r="C133" s="12"/>
      <c r="D133" s="11"/>
      <c r="E133" s="224"/>
      <c r="F133" s="11"/>
      <c r="G133" s="1"/>
      <c r="H133" s="11"/>
      <c r="I133" s="1"/>
      <c r="J133" s="7"/>
      <c r="K133" s="8"/>
      <c r="L133" s="230"/>
      <c r="M133" s="75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</row>
    <row r="134" spans="1:34" x14ac:dyDescent="0.25">
      <c r="A134" s="14"/>
      <c r="B134" s="5"/>
      <c r="C134" s="12"/>
      <c r="D134" s="11"/>
      <c r="E134" s="224"/>
      <c r="F134" s="11"/>
      <c r="G134" s="1"/>
      <c r="H134" s="11"/>
      <c r="I134" s="1"/>
      <c r="J134" s="7"/>
      <c r="K134" s="8"/>
      <c r="L134" s="230"/>
      <c r="M134" s="75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</row>
    <row r="135" spans="1:34" x14ac:dyDescent="0.25">
      <c r="A135" s="14"/>
      <c r="B135" s="5"/>
      <c r="C135" s="12"/>
      <c r="D135" s="11"/>
      <c r="E135" s="224"/>
      <c r="F135" s="11"/>
      <c r="G135" s="1"/>
      <c r="H135" s="11"/>
      <c r="I135" s="1"/>
      <c r="J135" s="7"/>
      <c r="K135" s="8"/>
      <c r="L135" s="230"/>
      <c r="M135" s="75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</row>
    <row r="136" spans="1:34" x14ac:dyDescent="0.25">
      <c r="A136" s="14"/>
      <c r="B136" s="5"/>
      <c r="C136" s="12"/>
      <c r="D136" s="11"/>
      <c r="E136" s="224"/>
      <c r="F136" s="11"/>
      <c r="G136" s="1"/>
      <c r="H136" s="11"/>
      <c r="I136" s="1"/>
      <c r="J136" s="7"/>
      <c r="K136" s="8"/>
      <c r="L136" s="230"/>
      <c r="M136" s="75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</row>
    <row r="137" spans="1:34" x14ac:dyDescent="0.25">
      <c r="A137" s="14"/>
      <c r="B137" s="5"/>
      <c r="C137" s="12"/>
      <c r="D137" s="11"/>
      <c r="E137" s="224"/>
      <c r="F137" s="11"/>
      <c r="G137" s="1"/>
      <c r="H137" s="11"/>
      <c r="I137" s="1"/>
      <c r="J137" s="7"/>
      <c r="K137" s="8"/>
      <c r="L137" s="230"/>
      <c r="M137" s="75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</row>
    <row r="138" spans="1:34" x14ac:dyDescent="0.25">
      <c r="A138" s="14"/>
      <c r="B138" s="5"/>
      <c r="C138" s="12"/>
      <c r="D138" s="11"/>
      <c r="E138" s="224"/>
      <c r="F138" s="11"/>
      <c r="G138" s="1"/>
      <c r="H138" s="11"/>
      <c r="I138" s="1"/>
      <c r="J138" s="7"/>
      <c r="K138" s="8"/>
      <c r="L138" s="230"/>
      <c r="M138" s="75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</row>
    <row r="139" spans="1:34" x14ac:dyDescent="0.25">
      <c r="A139" s="14"/>
      <c r="B139" s="5"/>
      <c r="C139" s="12"/>
      <c r="D139" s="11"/>
      <c r="E139" s="224"/>
      <c r="F139" s="11"/>
      <c r="G139" s="1"/>
      <c r="H139" s="11"/>
      <c r="I139" s="1"/>
      <c r="J139" s="7"/>
      <c r="K139" s="8"/>
      <c r="L139" s="230"/>
      <c r="M139" s="75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</row>
    <row r="140" spans="1:34" x14ac:dyDescent="0.25">
      <c r="A140" s="14"/>
      <c r="B140" s="5"/>
      <c r="C140" s="12"/>
      <c r="D140" s="11"/>
      <c r="E140" s="224"/>
      <c r="F140" s="11"/>
      <c r="G140" s="1"/>
      <c r="H140" s="11"/>
      <c r="I140" s="1"/>
      <c r="J140" s="7"/>
      <c r="K140" s="8"/>
      <c r="L140" s="230"/>
      <c r="M140" s="75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</row>
    <row r="141" spans="1:34" x14ac:dyDescent="0.25">
      <c r="A141" s="14"/>
      <c r="B141" s="5"/>
      <c r="C141" s="12"/>
      <c r="D141" s="11"/>
      <c r="E141" s="224"/>
      <c r="F141" s="11"/>
      <c r="G141" s="1"/>
      <c r="H141" s="11"/>
      <c r="I141" s="1"/>
      <c r="J141" s="7"/>
      <c r="K141" s="8"/>
      <c r="L141" s="230"/>
      <c r="M141" s="75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</row>
    <row r="142" spans="1:34" x14ac:dyDescent="0.25">
      <c r="A142" s="14"/>
      <c r="B142" s="5"/>
      <c r="C142" s="12"/>
      <c r="D142" s="11"/>
      <c r="E142" s="224"/>
      <c r="F142" s="11"/>
      <c r="G142" s="1"/>
      <c r="H142" s="11"/>
      <c r="I142" s="1"/>
      <c r="J142" s="7"/>
      <c r="K142" s="8"/>
      <c r="L142" s="230"/>
      <c r="M142" s="75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</row>
    <row r="143" spans="1:34" x14ac:dyDescent="0.25">
      <c r="A143" s="14"/>
      <c r="B143" s="5"/>
      <c r="C143" s="12"/>
      <c r="D143" s="11"/>
      <c r="E143" s="224"/>
      <c r="F143" s="11"/>
      <c r="G143" s="1"/>
      <c r="H143" s="11"/>
      <c r="I143" s="1"/>
      <c r="J143" s="7"/>
      <c r="K143" s="8"/>
      <c r="L143" s="230"/>
      <c r="M143" s="75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</row>
    <row r="144" spans="1:34" x14ac:dyDescent="0.25">
      <c r="A144" s="14"/>
      <c r="B144" s="5"/>
      <c r="C144" s="12"/>
      <c r="D144" s="11"/>
      <c r="E144" s="224"/>
      <c r="F144" s="11"/>
      <c r="G144" s="1"/>
      <c r="H144" s="11"/>
      <c r="I144" s="1"/>
      <c r="J144" s="7"/>
      <c r="K144" s="8"/>
      <c r="L144" s="230"/>
      <c r="M144" s="75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</row>
    <row r="145" spans="1:34" x14ac:dyDescent="0.25">
      <c r="A145" s="14"/>
      <c r="B145" s="5"/>
      <c r="C145" s="12"/>
      <c r="D145" s="11"/>
      <c r="E145" s="224"/>
      <c r="F145" s="11"/>
      <c r="G145" s="1"/>
      <c r="H145" s="11"/>
      <c r="I145" s="1"/>
      <c r="J145" s="7"/>
      <c r="K145" s="8"/>
      <c r="L145" s="230"/>
      <c r="M145" s="75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</row>
    <row r="146" spans="1:34" x14ac:dyDescent="0.25">
      <c r="A146" s="14"/>
      <c r="B146" s="5"/>
      <c r="C146" s="12"/>
      <c r="D146" s="11"/>
      <c r="E146" s="224"/>
      <c r="F146" s="11"/>
      <c r="G146" s="1"/>
      <c r="H146" s="11"/>
      <c r="I146" s="1"/>
      <c r="J146" s="7"/>
      <c r="K146" s="8"/>
      <c r="L146" s="230"/>
      <c r="M146" s="75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</row>
    <row r="147" spans="1:34" x14ac:dyDescent="0.25">
      <c r="A147" s="14"/>
      <c r="B147" s="5"/>
      <c r="C147" s="12"/>
      <c r="D147" s="11"/>
      <c r="E147" s="224"/>
      <c r="F147" s="11"/>
      <c r="G147" s="1"/>
      <c r="H147" s="11"/>
      <c r="I147" s="1"/>
      <c r="J147" s="7"/>
      <c r="K147" s="8"/>
      <c r="L147" s="230"/>
      <c r="M147" s="75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</row>
    <row r="148" spans="1:34" x14ac:dyDescent="0.25">
      <c r="A148" s="14"/>
      <c r="B148" s="5"/>
      <c r="C148" s="12"/>
      <c r="D148" s="11"/>
      <c r="E148" s="224"/>
      <c r="F148" s="11"/>
      <c r="G148" s="1"/>
      <c r="H148" s="11"/>
      <c r="I148" s="1"/>
      <c r="J148" s="7"/>
      <c r="K148" s="8"/>
      <c r="L148" s="230"/>
      <c r="M148" s="75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</row>
    <row r="149" spans="1:34" x14ac:dyDescent="0.25">
      <c r="A149" s="14"/>
      <c r="B149" s="5"/>
      <c r="C149" s="12"/>
      <c r="D149" s="11"/>
      <c r="E149" s="224"/>
      <c r="F149" s="11"/>
      <c r="G149" s="1"/>
      <c r="H149" s="11"/>
      <c r="I149" s="1"/>
      <c r="J149" s="7"/>
      <c r="K149" s="8"/>
      <c r="L149" s="230"/>
      <c r="M149" s="75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</row>
    <row r="150" spans="1:34" x14ac:dyDescent="0.25">
      <c r="A150" s="14"/>
      <c r="B150" s="5"/>
      <c r="C150" s="12"/>
      <c r="D150" s="11"/>
      <c r="E150" s="224"/>
      <c r="F150" s="11"/>
      <c r="G150" s="1"/>
      <c r="H150" s="11"/>
      <c r="I150" s="1"/>
      <c r="J150" s="7"/>
      <c r="K150" s="8"/>
      <c r="L150" s="230"/>
      <c r="M150" s="231"/>
      <c r="N150" s="225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</row>
    <row r="151" spans="1:34" x14ac:dyDescent="0.25">
      <c r="A151" s="14"/>
      <c r="B151" s="5"/>
      <c r="C151" s="12"/>
      <c r="D151" s="11"/>
      <c r="E151" s="224"/>
      <c r="F151" s="11"/>
      <c r="G151" s="1"/>
      <c r="H151" s="11"/>
      <c r="I151" s="1"/>
      <c r="J151" s="7"/>
      <c r="K151" s="8"/>
      <c r="L151" s="230"/>
      <c r="M151" s="75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</row>
    <row r="152" spans="1:34" x14ac:dyDescent="0.25">
      <c r="A152" s="14"/>
      <c r="B152" s="5"/>
      <c r="C152" s="12"/>
      <c r="D152" s="11"/>
      <c r="E152" s="224"/>
      <c r="F152" s="11"/>
      <c r="G152" s="1"/>
      <c r="H152" s="11"/>
      <c r="I152" s="1"/>
      <c r="J152" s="7"/>
      <c r="K152" s="8"/>
      <c r="L152" s="230"/>
      <c r="M152" s="75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</row>
    <row r="153" spans="1:34" x14ac:dyDescent="0.25">
      <c r="A153" s="14"/>
      <c r="B153" s="5"/>
      <c r="C153" s="12"/>
      <c r="D153" s="11"/>
      <c r="E153" s="224"/>
      <c r="F153" s="11"/>
      <c r="G153" s="1"/>
      <c r="H153" s="11"/>
      <c r="I153" s="1"/>
      <c r="J153" s="7"/>
      <c r="K153" s="8"/>
      <c r="L153" s="230"/>
      <c r="M153" s="75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</row>
    <row r="154" spans="1:34" x14ac:dyDescent="0.25">
      <c r="A154" s="14"/>
      <c r="B154" s="5"/>
      <c r="C154" s="12"/>
      <c r="D154" s="11"/>
      <c r="E154" s="224"/>
      <c r="F154" s="11"/>
      <c r="G154" s="1"/>
      <c r="H154" s="11"/>
      <c r="I154" s="1"/>
      <c r="J154" s="7"/>
      <c r="K154" s="8"/>
      <c r="L154" s="230"/>
      <c r="M154" s="75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</row>
    <row r="155" spans="1:34" x14ac:dyDescent="0.25">
      <c r="A155" s="14"/>
      <c r="B155" s="5"/>
      <c r="C155" s="12"/>
      <c r="D155" s="11"/>
      <c r="E155" s="224"/>
      <c r="F155" s="11"/>
      <c r="G155" s="1"/>
      <c r="H155" s="11"/>
      <c r="I155" s="1"/>
      <c r="J155" s="7"/>
      <c r="K155" s="8"/>
      <c r="L155" s="230"/>
      <c r="M155" s="75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</row>
    <row r="156" spans="1:34" x14ac:dyDescent="0.25">
      <c r="A156" s="14"/>
      <c r="B156" s="5"/>
      <c r="C156" s="12"/>
      <c r="D156" s="11"/>
      <c r="E156" s="224"/>
      <c r="F156" s="11"/>
      <c r="G156" s="1"/>
      <c r="H156" s="11"/>
      <c r="I156" s="1"/>
      <c r="J156" s="7"/>
      <c r="K156" s="8"/>
      <c r="L156" s="230"/>
      <c r="M156" s="75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</row>
    <row r="157" spans="1:34" x14ac:dyDescent="0.25">
      <c r="A157" s="14"/>
      <c r="B157" s="5"/>
      <c r="C157" s="12"/>
      <c r="D157" s="11"/>
      <c r="E157" s="224"/>
      <c r="F157" s="11"/>
      <c r="G157" s="1"/>
      <c r="H157" s="11"/>
      <c r="I157" s="1"/>
      <c r="J157" s="7"/>
      <c r="K157" s="8"/>
      <c r="L157" s="230"/>
      <c r="M157" s="75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</row>
    <row r="158" spans="1:34" x14ac:dyDescent="0.25">
      <c r="A158" s="14"/>
      <c r="B158" s="5"/>
      <c r="C158" s="12"/>
      <c r="D158" s="11"/>
      <c r="E158" s="224"/>
      <c r="F158" s="11"/>
      <c r="G158" s="1"/>
      <c r="H158" s="11"/>
      <c r="I158" s="1"/>
      <c r="J158" s="7"/>
      <c r="K158" s="8"/>
      <c r="L158" s="230"/>
      <c r="M158" s="75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</row>
    <row r="159" spans="1:34" x14ac:dyDescent="0.25">
      <c r="A159" s="14"/>
      <c r="B159" s="5"/>
      <c r="C159" s="12"/>
      <c r="D159" s="11"/>
      <c r="E159" s="224"/>
      <c r="F159" s="11"/>
      <c r="G159" s="1"/>
      <c r="H159" s="11"/>
      <c r="I159" s="1"/>
      <c r="J159" s="7"/>
      <c r="K159" s="8"/>
      <c r="L159" s="230"/>
      <c r="M159" s="75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</row>
    <row r="160" spans="1:34" x14ac:dyDescent="0.25">
      <c r="A160" s="14"/>
      <c r="B160" s="5"/>
      <c r="C160" s="12"/>
      <c r="D160" s="11"/>
      <c r="E160" s="224"/>
      <c r="F160" s="11"/>
      <c r="G160" s="1"/>
      <c r="H160" s="11"/>
      <c r="I160" s="1"/>
      <c r="J160" s="7"/>
      <c r="K160" s="8"/>
      <c r="L160" s="230"/>
      <c r="M160" s="75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</row>
    <row r="161" spans="1:34" x14ac:dyDescent="0.25">
      <c r="A161" s="14"/>
      <c r="B161" s="5"/>
      <c r="C161" s="12"/>
      <c r="D161" s="11"/>
      <c r="E161" s="224"/>
      <c r="F161" s="11"/>
      <c r="G161" s="1"/>
      <c r="H161" s="11"/>
      <c r="I161" s="1"/>
      <c r="J161" s="7"/>
      <c r="K161" s="8"/>
      <c r="L161" s="230"/>
      <c r="M161" s="75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</row>
    <row r="162" spans="1:34" x14ac:dyDescent="0.25">
      <c r="A162" s="14"/>
      <c r="B162" s="5"/>
      <c r="C162" s="12"/>
      <c r="D162" s="11"/>
      <c r="E162" s="224"/>
      <c r="F162" s="11"/>
      <c r="G162" s="1"/>
      <c r="H162" s="11"/>
      <c r="I162" s="1"/>
      <c r="J162" s="7"/>
      <c r="K162" s="8"/>
      <c r="L162" s="230"/>
      <c r="M162" s="75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</row>
    <row r="163" spans="1:34" x14ac:dyDescent="0.25">
      <c r="A163" s="14"/>
      <c r="B163" s="5"/>
      <c r="C163" s="12"/>
      <c r="D163" s="11"/>
      <c r="E163" s="224"/>
      <c r="F163" s="11"/>
      <c r="G163" s="1"/>
      <c r="H163" s="11"/>
      <c r="I163" s="1"/>
      <c r="J163" s="7"/>
      <c r="K163" s="8"/>
      <c r="L163" s="230"/>
      <c r="M163" s="75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</row>
    <row r="164" spans="1:34" x14ac:dyDescent="0.25">
      <c r="A164" s="14"/>
      <c r="B164" s="5"/>
      <c r="C164" s="12"/>
      <c r="D164" s="11"/>
      <c r="E164" s="224"/>
      <c r="F164" s="11"/>
      <c r="G164" s="1"/>
      <c r="H164" s="11"/>
      <c r="I164" s="1"/>
      <c r="J164" s="7"/>
      <c r="K164" s="8"/>
      <c r="L164" s="230"/>
      <c r="M164" s="75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</row>
    <row r="165" spans="1:34" x14ac:dyDescent="0.25">
      <c r="A165" s="14"/>
      <c r="B165" s="5"/>
      <c r="C165" s="12"/>
      <c r="D165" s="11"/>
      <c r="E165" s="224"/>
      <c r="F165" s="11"/>
      <c r="G165" s="1"/>
      <c r="H165" s="11"/>
      <c r="I165" s="1"/>
      <c r="J165" s="7"/>
      <c r="K165" s="8"/>
      <c r="L165" s="230"/>
      <c r="M165" s="75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</row>
    <row r="166" spans="1:34" x14ac:dyDescent="0.25">
      <c r="A166" s="14"/>
      <c r="B166" s="5"/>
      <c r="C166" s="12"/>
      <c r="D166" s="11"/>
      <c r="E166" s="224"/>
      <c r="F166" s="11"/>
      <c r="G166" s="1"/>
      <c r="H166" s="11"/>
      <c r="I166" s="1"/>
      <c r="J166" s="7"/>
      <c r="K166" s="8"/>
      <c r="L166" s="230"/>
      <c r="M166" s="75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</row>
    <row r="167" spans="1:34" x14ac:dyDescent="0.25">
      <c r="A167" s="14"/>
      <c r="B167" s="5"/>
      <c r="C167" s="12"/>
      <c r="D167" s="11"/>
      <c r="E167" s="224"/>
      <c r="F167" s="11"/>
      <c r="G167" s="1"/>
      <c r="H167" s="11"/>
      <c r="I167" s="1"/>
      <c r="J167" s="7"/>
      <c r="K167" s="8"/>
      <c r="L167" s="230"/>
      <c r="M167" s="75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</row>
    <row r="168" spans="1:34" x14ac:dyDescent="0.25">
      <c r="A168" s="14"/>
      <c r="B168" s="5"/>
      <c r="C168" s="12"/>
      <c r="D168" s="11"/>
      <c r="E168" s="224"/>
      <c r="F168" s="11"/>
      <c r="G168" s="1"/>
      <c r="H168" s="11"/>
      <c r="I168" s="1"/>
      <c r="J168" s="7"/>
      <c r="K168" s="8"/>
      <c r="L168" s="230"/>
      <c r="M168" s="75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</row>
    <row r="169" spans="1:34" x14ac:dyDescent="0.25">
      <c r="A169" s="14"/>
      <c r="B169" s="5"/>
      <c r="C169" s="12"/>
      <c r="D169" s="11"/>
      <c r="E169" s="224"/>
      <c r="F169" s="11"/>
      <c r="G169" s="1"/>
      <c r="H169" s="11"/>
      <c r="I169" s="1"/>
      <c r="J169" s="7"/>
      <c r="K169" s="8"/>
      <c r="L169" s="230"/>
      <c r="M169" s="75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</row>
    <row r="170" spans="1:34" x14ac:dyDescent="0.25">
      <c r="A170" s="14"/>
      <c r="B170" s="5"/>
      <c r="C170" s="12"/>
      <c r="D170" s="11"/>
      <c r="E170" s="224"/>
      <c r="F170" s="11"/>
      <c r="G170" s="1"/>
      <c r="H170" s="11"/>
      <c r="I170" s="1"/>
      <c r="J170" s="7"/>
      <c r="K170" s="8"/>
      <c r="L170" s="230"/>
      <c r="M170" s="75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</row>
    <row r="171" spans="1:34" x14ac:dyDescent="0.25">
      <c r="A171" s="14"/>
      <c r="B171" s="5"/>
      <c r="C171" s="12"/>
      <c r="D171" s="11"/>
      <c r="E171" s="224"/>
      <c r="F171" s="11"/>
      <c r="G171" s="1"/>
      <c r="H171" s="11"/>
      <c r="I171" s="1"/>
      <c r="J171" s="7"/>
      <c r="K171" s="8"/>
      <c r="L171" s="230"/>
      <c r="M171" s="75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</row>
    <row r="172" spans="1:34" x14ac:dyDescent="0.25">
      <c r="A172" s="14"/>
      <c r="B172" s="5"/>
      <c r="C172" s="12"/>
      <c r="D172" s="11"/>
      <c r="E172" s="224"/>
      <c r="F172" s="11"/>
      <c r="G172" s="1"/>
      <c r="H172" s="11"/>
      <c r="I172" s="1"/>
      <c r="J172" s="7"/>
      <c r="K172" s="8"/>
      <c r="L172" s="230"/>
      <c r="M172" s="75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</row>
    <row r="173" spans="1:34" x14ac:dyDescent="0.25">
      <c r="A173" s="14"/>
      <c r="B173" s="5"/>
      <c r="C173" s="12"/>
      <c r="D173" s="11"/>
      <c r="E173" s="224"/>
      <c r="F173" s="11"/>
      <c r="G173" s="1"/>
      <c r="H173" s="11"/>
      <c r="I173" s="1"/>
      <c r="J173" s="7"/>
      <c r="K173" s="8"/>
      <c r="L173" s="230"/>
      <c r="M173" s="75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</row>
    <row r="174" spans="1:34" x14ac:dyDescent="0.25">
      <c r="A174" s="14"/>
      <c r="B174" s="5"/>
      <c r="C174" s="12"/>
      <c r="D174" s="11"/>
      <c r="E174" s="224"/>
      <c r="F174" s="11"/>
      <c r="G174" s="1"/>
      <c r="H174" s="11"/>
      <c r="I174" s="1"/>
      <c r="J174" s="7"/>
      <c r="K174" s="8"/>
      <c r="L174" s="230"/>
      <c r="M174" s="75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</row>
    <row r="175" spans="1:34" x14ac:dyDescent="0.25">
      <c r="A175" s="14"/>
      <c r="B175" s="5"/>
      <c r="C175" s="12"/>
      <c r="D175" s="11"/>
      <c r="E175" s="224"/>
      <c r="F175" s="11"/>
      <c r="G175" s="1"/>
      <c r="H175" s="11"/>
      <c r="I175" s="1"/>
      <c r="J175" s="7"/>
      <c r="K175" s="8"/>
      <c r="L175" s="230"/>
      <c r="M175" s="75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</row>
    <row r="176" spans="1:34" x14ac:dyDescent="0.25">
      <c r="A176" s="14"/>
      <c r="B176" s="5"/>
      <c r="C176" s="12"/>
      <c r="D176" s="11"/>
      <c r="E176" s="224"/>
      <c r="F176" s="11"/>
      <c r="G176" s="1"/>
      <c r="H176" s="11"/>
      <c r="I176" s="1"/>
      <c r="J176" s="7"/>
      <c r="K176" s="8"/>
      <c r="L176" s="230"/>
      <c r="M176" s="75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</row>
    <row r="177" spans="1:34" x14ac:dyDescent="0.25">
      <c r="A177" s="14"/>
      <c r="B177" s="5"/>
      <c r="C177" s="12"/>
      <c r="D177" s="11"/>
      <c r="E177" s="224"/>
      <c r="F177" s="11"/>
      <c r="G177" s="1"/>
      <c r="H177" s="11"/>
      <c r="I177" s="1"/>
      <c r="J177" s="7"/>
      <c r="K177" s="8"/>
      <c r="L177" s="230"/>
      <c r="M177" s="75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</row>
    <row r="178" spans="1:34" x14ac:dyDescent="0.25">
      <c r="A178" s="14"/>
      <c r="B178" s="5"/>
      <c r="C178" s="12"/>
      <c r="D178" s="11"/>
      <c r="E178" s="224"/>
      <c r="F178" s="11"/>
      <c r="G178" s="1"/>
      <c r="H178" s="11"/>
      <c r="I178" s="1"/>
      <c r="J178" s="7"/>
      <c r="K178" s="8"/>
      <c r="L178" s="230"/>
      <c r="M178" s="75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</row>
    <row r="179" spans="1:34" x14ac:dyDescent="0.25">
      <c r="A179" s="14"/>
      <c r="B179" s="5"/>
      <c r="C179" s="12"/>
      <c r="D179" s="11"/>
      <c r="E179" s="224"/>
      <c r="F179" s="11"/>
      <c r="G179" s="1"/>
      <c r="H179" s="11"/>
      <c r="I179" s="1"/>
      <c r="J179" s="7"/>
      <c r="K179" s="8"/>
      <c r="L179" s="230"/>
      <c r="M179" s="75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</row>
    <row r="180" spans="1:34" x14ac:dyDescent="0.25">
      <c r="A180" s="14"/>
      <c r="B180" s="5"/>
      <c r="C180" s="12"/>
      <c r="D180" s="11"/>
      <c r="E180" s="224"/>
      <c r="F180" s="11"/>
      <c r="G180" s="1"/>
      <c r="H180" s="11"/>
      <c r="I180" s="1"/>
      <c r="J180" s="7"/>
      <c r="K180" s="8"/>
      <c r="L180" s="230"/>
      <c r="M180" s="75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</row>
    <row r="181" spans="1:34" x14ac:dyDescent="0.25">
      <c r="A181" s="14"/>
      <c r="B181" s="5"/>
      <c r="C181" s="12"/>
      <c r="D181" s="11"/>
      <c r="E181" s="224"/>
      <c r="F181" s="11"/>
      <c r="G181" s="1"/>
      <c r="H181" s="11"/>
      <c r="I181" s="1"/>
      <c r="J181" s="7"/>
      <c r="K181" s="8"/>
      <c r="L181" s="230"/>
      <c r="M181" s="75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</row>
    <row r="182" spans="1:34" x14ac:dyDescent="0.25">
      <c r="A182" s="14"/>
      <c r="B182" s="5"/>
      <c r="C182" s="12"/>
      <c r="D182" s="11"/>
      <c r="E182" s="224"/>
      <c r="F182" s="11"/>
      <c r="G182" s="1"/>
      <c r="H182" s="11"/>
      <c r="I182" s="1"/>
      <c r="J182" s="7"/>
      <c r="K182" s="8"/>
      <c r="L182" s="230"/>
      <c r="M182" s="75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</row>
    <row r="183" spans="1:34" x14ac:dyDescent="0.25">
      <c r="A183" s="14"/>
      <c r="B183" s="5"/>
      <c r="C183" s="12"/>
      <c r="D183" s="11"/>
      <c r="E183" s="224"/>
      <c r="F183" s="11"/>
      <c r="G183" s="1"/>
      <c r="H183" s="11"/>
      <c r="I183" s="1"/>
      <c r="J183" s="7"/>
      <c r="K183" s="8"/>
      <c r="L183" s="230"/>
      <c r="M183" s="75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</row>
    <row r="184" spans="1:34" x14ac:dyDescent="0.25">
      <c r="A184" s="14"/>
      <c r="B184" s="5"/>
      <c r="C184" s="12"/>
      <c r="D184" s="11"/>
      <c r="E184" s="224"/>
      <c r="F184" s="11"/>
      <c r="G184" s="1"/>
      <c r="H184" s="11"/>
      <c r="I184" s="1"/>
      <c r="J184" s="7"/>
      <c r="K184" s="8"/>
      <c r="L184" s="230"/>
      <c r="M184" s="75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</row>
    <row r="185" spans="1:34" x14ac:dyDescent="0.25">
      <c r="A185" s="14"/>
      <c r="B185" s="5"/>
      <c r="C185" s="12"/>
      <c r="D185" s="11"/>
      <c r="E185" s="224"/>
      <c r="F185" s="11"/>
      <c r="G185" s="1"/>
      <c r="H185" s="11"/>
      <c r="I185" s="1"/>
      <c r="J185" s="7"/>
      <c r="K185" s="8"/>
      <c r="L185" s="230"/>
      <c r="M185" s="75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</row>
    <row r="186" spans="1:34" x14ac:dyDescent="0.25">
      <c r="A186" s="14"/>
      <c r="B186" s="5"/>
      <c r="C186" s="12"/>
      <c r="D186" s="11"/>
      <c r="E186" s="224"/>
      <c r="F186" s="11"/>
      <c r="G186" s="1"/>
      <c r="H186" s="11"/>
      <c r="I186" s="1"/>
      <c r="J186" s="7"/>
      <c r="K186" s="8"/>
      <c r="L186" s="230"/>
      <c r="M186" s="75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</row>
    <row r="187" spans="1:34" x14ac:dyDescent="0.25">
      <c r="A187" s="14"/>
      <c r="B187" s="5"/>
      <c r="C187" s="12"/>
      <c r="D187" s="11"/>
      <c r="E187" s="224"/>
      <c r="F187" s="11"/>
      <c r="G187" s="1"/>
      <c r="H187" s="11"/>
      <c r="I187" s="1"/>
      <c r="J187" s="7"/>
      <c r="K187" s="8"/>
      <c r="L187" s="230"/>
      <c r="M187" s="75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</row>
    <row r="188" spans="1:34" x14ac:dyDescent="0.25">
      <c r="A188" s="14"/>
      <c r="B188" s="5"/>
      <c r="C188" s="12"/>
      <c r="D188" s="11"/>
      <c r="E188" s="224"/>
      <c r="F188" s="11"/>
      <c r="G188" s="1"/>
      <c r="H188" s="11"/>
      <c r="I188" s="1"/>
      <c r="J188" s="7"/>
      <c r="K188" s="8"/>
      <c r="L188" s="230"/>
      <c r="M188" s="75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</row>
    <row r="189" spans="1:34" x14ac:dyDescent="0.25">
      <c r="A189" s="14"/>
      <c r="B189" s="5"/>
      <c r="C189" s="12"/>
      <c r="D189" s="11"/>
      <c r="E189" s="224"/>
      <c r="F189" s="11"/>
      <c r="G189" s="1"/>
      <c r="H189" s="11"/>
      <c r="I189" s="1"/>
      <c r="J189" s="7"/>
      <c r="K189" s="8"/>
      <c r="L189" s="230"/>
      <c r="M189" s="75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</row>
    <row r="190" spans="1:34" x14ac:dyDescent="0.25">
      <c r="A190" s="14"/>
      <c r="B190" s="5"/>
      <c r="C190" s="12"/>
      <c r="D190" s="11"/>
      <c r="E190" s="224"/>
      <c r="F190" s="11"/>
      <c r="G190" s="1"/>
      <c r="H190" s="11"/>
      <c r="I190" s="1"/>
      <c r="J190" s="7"/>
      <c r="K190" s="8"/>
      <c r="L190" s="230"/>
      <c r="M190" s="75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</row>
    <row r="191" spans="1:34" x14ac:dyDescent="0.25">
      <c r="A191" s="14"/>
      <c r="B191" s="5"/>
      <c r="C191" s="12"/>
      <c r="D191" s="11"/>
      <c r="E191" s="224"/>
      <c r="F191" s="11"/>
      <c r="G191" s="1"/>
      <c r="H191" s="11"/>
      <c r="I191" s="1"/>
      <c r="J191" s="7"/>
      <c r="K191" s="8"/>
      <c r="L191" s="230"/>
      <c r="M191" s="75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</row>
    <row r="192" spans="1:34" x14ac:dyDescent="0.25">
      <c r="A192" s="14"/>
      <c r="B192" s="5"/>
      <c r="C192" s="12"/>
      <c r="D192" s="11"/>
      <c r="E192" s="224"/>
      <c r="F192" s="11"/>
      <c r="G192" s="1"/>
      <c r="H192" s="11"/>
      <c r="I192" s="1"/>
      <c r="J192" s="7"/>
      <c r="K192" s="8"/>
      <c r="L192" s="230"/>
      <c r="M192" s="75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</row>
    <row r="193" spans="1:34" x14ac:dyDescent="0.25">
      <c r="A193" s="14"/>
      <c r="B193" s="5"/>
      <c r="C193" s="12"/>
      <c r="D193" s="11"/>
      <c r="E193" s="224"/>
      <c r="F193" s="11"/>
      <c r="G193" s="1"/>
      <c r="H193" s="11"/>
      <c r="I193" s="1"/>
      <c r="J193" s="7"/>
      <c r="K193" s="8"/>
      <c r="L193" s="230"/>
      <c r="M193" s="75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</row>
    <row r="194" spans="1:34" x14ac:dyDescent="0.25">
      <c r="A194" s="14"/>
      <c r="B194" s="5"/>
      <c r="C194" s="12"/>
      <c r="D194" s="11"/>
      <c r="E194" s="224"/>
      <c r="F194" s="11"/>
      <c r="G194" s="1"/>
      <c r="H194" s="11"/>
      <c r="I194" s="1"/>
      <c r="J194" s="7"/>
      <c r="K194" s="8"/>
      <c r="L194" s="230"/>
      <c r="M194" s="75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</row>
    <row r="195" spans="1:34" x14ac:dyDescent="0.25">
      <c r="A195" s="14"/>
      <c r="B195" s="5"/>
      <c r="C195" s="12"/>
      <c r="D195" s="11"/>
      <c r="E195" s="224"/>
      <c r="F195" s="11"/>
      <c r="G195" s="1"/>
      <c r="H195" s="11"/>
      <c r="I195" s="1"/>
      <c r="J195" s="7"/>
      <c r="K195" s="8"/>
      <c r="L195" s="230"/>
      <c r="M195" s="75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</row>
    <row r="196" spans="1:34" x14ac:dyDescent="0.25">
      <c r="A196" s="14"/>
      <c r="B196" s="5"/>
      <c r="C196" s="12"/>
      <c r="D196" s="11"/>
      <c r="E196" s="224"/>
      <c r="F196" s="11"/>
      <c r="G196" s="1"/>
      <c r="H196" s="11"/>
      <c r="I196" s="1"/>
      <c r="J196" s="7"/>
      <c r="K196" s="8"/>
      <c r="L196" s="230"/>
      <c r="M196" s="75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</row>
    <row r="197" spans="1:34" x14ac:dyDescent="0.25">
      <c r="A197" s="14"/>
      <c r="B197" s="5"/>
      <c r="C197" s="12"/>
      <c r="D197" s="11"/>
      <c r="E197" s="224"/>
      <c r="F197" s="11"/>
      <c r="G197" s="1"/>
      <c r="H197" s="11"/>
      <c r="I197" s="1"/>
      <c r="J197" s="7"/>
      <c r="K197" s="8"/>
      <c r="L197" s="230"/>
      <c r="M197" s="75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</row>
    <row r="198" spans="1:34" x14ac:dyDescent="0.25">
      <c r="A198" s="14"/>
      <c r="B198" s="5"/>
      <c r="C198" s="12"/>
      <c r="D198" s="11"/>
      <c r="E198" s="224"/>
      <c r="F198" s="11"/>
      <c r="G198" s="1"/>
      <c r="H198" s="11"/>
      <c r="I198" s="1"/>
      <c r="J198" s="7"/>
      <c r="K198" s="8"/>
      <c r="L198" s="230"/>
      <c r="M198" s="75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</row>
    <row r="199" spans="1:34" x14ac:dyDescent="0.25">
      <c r="A199" s="14"/>
      <c r="B199" s="5"/>
      <c r="C199" s="12"/>
      <c r="D199" s="11"/>
      <c r="E199" s="224"/>
      <c r="F199" s="11"/>
      <c r="G199" s="1"/>
      <c r="H199" s="11"/>
      <c r="I199" s="1"/>
      <c r="J199" s="7"/>
      <c r="K199" s="8"/>
      <c r="L199" s="230"/>
      <c r="M199" s="75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</row>
    <row r="200" spans="1:34" x14ac:dyDescent="0.25">
      <c r="A200" s="14"/>
      <c r="B200" s="5"/>
      <c r="C200" s="12"/>
      <c r="D200" s="11"/>
      <c r="E200" s="224"/>
      <c r="F200" s="11"/>
      <c r="G200" s="1"/>
      <c r="H200" s="11"/>
      <c r="I200" s="1"/>
      <c r="J200" s="7"/>
      <c r="K200" s="8"/>
      <c r="L200" s="230"/>
      <c r="M200" s="75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</row>
    <row r="201" spans="1:34" x14ac:dyDescent="0.25">
      <c r="A201" s="14"/>
      <c r="B201" s="5"/>
      <c r="C201" s="12"/>
      <c r="D201" s="11"/>
      <c r="E201" s="224"/>
      <c r="F201" s="11"/>
      <c r="G201" s="1"/>
      <c r="H201" s="11"/>
      <c r="I201" s="1"/>
      <c r="J201" s="7"/>
      <c r="K201" s="8"/>
      <c r="L201" s="230"/>
      <c r="M201" s="75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</row>
    <row r="202" spans="1:34" x14ac:dyDescent="0.25">
      <c r="A202" s="14"/>
      <c r="B202" s="5"/>
      <c r="C202" s="12"/>
      <c r="D202" s="11"/>
      <c r="E202" s="224"/>
      <c r="F202" s="11"/>
      <c r="G202" s="1"/>
      <c r="H202" s="11"/>
      <c r="I202" s="1"/>
      <c r="J202" s="7"/>
      <c r="K202" s="8"/>
      <c r="L202" s="230"/>
      <c r="M202" s="75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</row>
    <row r="203" spans="1:34" x14ac:dyDescent="0.25">
      <c r="A203" s="14"/>
      <c r="B203" s="5"/>
      <c r="C203" s="12"/>
      <c r="D203" s="11"/>
      <c r="E203" s="224"/>
      <c r="F203" s="11"/>
      <c r="G203" s="1"/>
      <c r="H203" s="11"/>
      <c r="I203" s="1"/>
      <c r="J203" s="7"/>
      <c r="K203" s="8"/>
      <c r="L203" s="230"/>
      <c r="M203" s="75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</row>
    <row r="204" spans="1:34" x14ac:dyDescent="0.25">
      <c r="A204" s="14"/>
      <c r="B204" s="5"/>
      <c r="C204" s="12"/>
      <c r="D204" s="11"/>
      <c r="E204" s="224"/>
      <c r="F204" s="11"/>
      <c r="G204" s="1"/>
      <c r="H204" s="11"/>
      <c r="I204" s="1"/>
      <c r="J204" s="7"/>
      <c r="K204" s="8"/>
      <c r="L204" s="230"/>
      <c r="M204" s="75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</row>
    <row r="205" spans="1:34" x14ac:dyDescent="0.25">
      <c r="A205" s="14"/>
      <c r="B205" s="5"/>
      <c r="C205" s="12"/>
      <c r="D205" s="11"/>
      <c r="E205" s="224"/>
      <c r="F205" s="11"/>
      <c r="G205" s="1"/>
      <c r="H205" s="11"/>
      <c r="I205" s="1"/>
      <c r="J205" s="7"/>
      <c r="K205" s="8"/>
      <c r="L205" s="230"/>
      <c r="M205" s="75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</row>
    <row r="206" spans="1:34" x14ac:dyDescent="0.25">
      <c r="A206" s="14"/>
      <c r="B206" s="5"/>
      <c r="C206" s="12"/>
      <c r="D206" s="11"/>
      <c r="E206" s="224"/>
      <c r="F206" s="11"/>
      <c r="G206" s="1"/>
      <c r="H206" s="11"/>
      <c r="I206" s="1"/>
      <c r="J206" s="7"/>
      <c r="K206" s="8"/>
      <c r="L206" s="230"/>
      <c r="M206" s="75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</row>
    <row r="207" spans="1:34" x14ac:dyDescent="0.25">
      <c r="A207" s="14"/>
      <c r="B207" s="5"/>
      <c r="C207" s="12"/>
      <c r="D207" s="11"/>
      <c r="E207" s="224"/>
      <c r="F207" s="11"/>
      <c r="G207" s="1"/>
      <c r="H207" s="11"/>
      <c r="I207" s="1"/>
      <c r="J207" s="7"/>
      <c r="K207" s="8"/>
      <c r="L207" s="230"/>
      <c r="M207" s="75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</row>
    <row r="208" spans="1:34" x14ac:dyDescent="0.25">
      <c r="A208" s="14"/>
      <c r="B208" s="5"/>
      <c r="C208" s="12"/>
      <c r="D208" s="11"/>
      <c r="E208" s="224"/>
      <c r="F208" s="11"/>
      <c r="G208" s="1"/>
      <c r="H208" s="11"/>
      <c r="I208" s="1"/>
      <c r="J208" s="7"/>
      <c r="K208" s="8"/>
      <c r="L208" s="11"/>
      <c r="M208" s="12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</row>
    <row r="209" spans="1:34" x14ac:dyDescent="0.25">
      <c r="A209" s="14"/>
      <c r="B209" s="5"/>
      <c r="C209" s="12"/>
      <c r="D209" s="11"/>
      <c r="E209" s="224"/>
      <c r="F209" s="11"/>
      <c r="G209" s="1"/>
      <c r="H209" s="11"/>
      <c r="I209" s="1"/>
      <c r="J209" s="7"/>
      <c r="K209" s="8"/>
      <c r="L209" s="11"/>
      <c r="M209" s="12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</row>
    <row r="210" spans="1:34" x14ac:dyDescent="0.25">
      <c r="A210" s="14"/>
      <c r="B210" s="5"/>
      <c r="C210" s="12"/>
      <c r="D210" s="11"/>
      <c r="E210" s="224"/>
      <c r="F210" s="11"/>
      <c r="G210" s="1"/>
      <c r="H210" s="11"/>
      <c r="I210" s="1"/>
      <c r="J210" s="7"/>
      <c r="K210" s="8"/>
      <c r="L210" s="11"/>
      <c r="M210" s="12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</row>
    <row r="211" spans="1:34" x14ac:dyDescent="0.25">
      <c r="A211" s="14"/>
      <c r="B211" s="5"/>
      <c r="C211" s="12"/>
      <c r="D211" s="11"/>
      <c r="E211" s="224"/>
      <c r="F211" s="11"/>
      <c r="G211" s="1"/>
      <c r="H211" s="11"/>
      <c r="I211" s="1"/>
      <c r="J211" s="7"/>
      <c r="K211" s="8"/>
      <c r="L211" s="11"/>
      <c r="M211" s="12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</row>
    <row r="212" spans="1:34" x14ac:dyDescent="0.25">
      <c r="A212" s="14"/>
      <c r="B212" s="5"/>
      <c r="C212" s="12"/>
      <c r="D212" s="11"/>
      <c r="E212" s="224"/>
      <c r="F212" s="11"/>
      <c r="G212" s="1"/>
      <c r="H212" s="11"/>
      <c r="I212" s="1"/>
      <c r="J212" s="7"/>
      <c r="K212" s="8"/>
      <c r="L212" s="11"/>
      <c r="M212" s="12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</row>
    <row r="213" spans="1:34" x14ac:dyDescent="0.25">
      <c r="A213" s="14"/>
      <c r="B213" s="5"/>
      <c r="C213" s="12"/>
      <c r="D213" s="11"/>
      <c r="E213" s="224"/>
      <c r="F213" s="11"/>
      <c r="G213" s="1"/>
      <c r="H213" s="11"/>
      <c r="I213" s="1"/>
      <c r="J213" s="7"/>
      <c r="K213" s="8"/>
      <c r="L213" s="11"/>
      <c r="M213" s="12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</row>
    <row r="214" spans="1:34" x14ac:dyDescent="0.25">
      <c r="A214" s="14"/>
      <c r="B214" s="5"/>
      <c r="C214" s="12"/>
      <c r="D214" s="11"/>
      <c r="E214" s="224"/>
      <c r="F214" s="11"/>
      <c r="G214" s="1"/>
      <c r="H214" s="11"/>
      <c r="I214" s="1"/>
      <c r="J214" s="7"/>
      <c r="K214" s="8"/>
      <c r="L214" s="11"/>
      <c r="M214" s="12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</row>
    <row r="215" spans="1:34" x14ac:dyDescent="0.25">
      <c r="A215" s="14"/>
      <c r="B215" s="5"/>
      <c r="C215" s="12"/>
      <c r="D215" s="11"/>
      <c r="E215" s="224"/>
      <c r="F215" s="11"/>
      <c r="G215" s="1"/>
      <c r="H215" s="11"/>
      <c r="I215" s="1"/>
      <c r="J215" s="7"/>
      <c r="K215" s="8"/>
      <c r="L215" s="11"/>
      <c r="M215" s="12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</row>
    <row r="216" spans="1:34" x14ac:dyDescent="0.25">
      <c r="A216" s="14"/>
      <c r="B216" s="5"/>
      <c r="C216" s="12"/>
      <c r="D216" s="11"/>
      <c r="E216" s="224"/>
      <c r="F216" s="11"/>
      <c r="G216" s="1"/>
      <c r="H216" s="11"/>
      <c r="I216" s="1"/>
      <c r="J216" s="7"/>
      <c r="K216" s="8"/>
      <c r="L216" s="11"/>
      <c r="M216" s="12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</row>
    <row r="217" spans="1:34" x14ac:dyDescent="0.25">
      <c r="A217" s="14"/>
      <c r="B217" s="5"/>
      <c r="C217" s="12"/>
      <c r="D217" s="11"/>
      <c r="E217" s="224"/>
      <c r="F217" s="11"/>
      <c r="G217" s="1"/>
      <c r="H217" s="11"/>
      <c r="I217" s="1"/>
      <c r="J217" s="7"/>
      <c r="K217" s="8"/>
      <c r="L217" s="11"/>
      <c r="M217" s="12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</row>
    <row r="218" spans="1:34" x14ac:dyDescent="0.25">
      <c r="A218" s="14"/>
      <c r="B218" s="5"/>
      <c r="C218" s="12"/>
      <c r="D218" s="11"/>
      <c r="E218" s="224"/>
      <c r="F218" s="11"/>
      <c r="G218" s="1"/>
      <c r="H218" s="11"/>
      <c r="I218" s="1"/>
      <c r="J218" s="7"/>
      <c r="K218" s="8"/>
      <c r="L218" s="11"/>
      <c r="M218" s="12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</row>
    <row r="219" spans="1:34" x14ac:dyDescent="0.25">
      <c r="A219" s="14"/>
      <c r="B219" s="5"/>
      <c r="C219" s="12"/>
      <c r="D219" s="11"/>
      <c r="E219" s="224"/>
      <c r="F219" s="11"/>
      <c r="G219" s="1"/>
      <c r="H219" s="11"/>
      <c r="I219" s="1"/>
      <c r="J219" s="7"/>
      <c r="K219" s="8"/>
      <c r="L219" s="11"/>
      <c r="M219" s="12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</row>
    <row r="220" spans="1:34" x14ac:dyDescent="0.25">
      <c r="A220" s="14"/>
      <c r="B220" s="5"/>
      <c r="C220" s="12"/>
      <c r="D220" s="11"/>
      <c r="E220" s="224"/>
      <c r="F220" s="11"/>
      <c r="G220" s="1"/>
      <c r="H220" s="11"/>
      <c r="I220" s="1"/>
      <c r="J220" s="7"/>
      <c r="K220" s="8"/>
      <c r="L220" s="11"/>
      <c r="M220" s="12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</row>
    <row r="221" spans="1:34" x14ac:dyDescent="0.25">
      <c r="A221" s="14"/>
      <c r="B221" s="5"/>
      <c r="C221" s="12"/>
      <c r="D221" s="11"/>
      <c r="E221" s="224"/>
      <c r="F221" s="11"/>
      <c r="G221" s="1"/>
      <c r="H221" s="11"/>
      <c r="I221" s="1"/>
      <c r="J221" s="7"/>
      <c r="K221" s="8"/>
      <c r="L221" s="11"/>
      <c r="M221" s="12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</row>
    <row r="222" spans="1:34" x14ac:dyDescent="0.25">
      <c r="A222" s="14"/>
      <c r="B222" s="5"/>
      <c r="C222" s="12"/>
      <c r="D222" s="11"/>
      <c r="E222" s="224"/>
      <c r="F222" s="11"/>
      <c r="G222" s="1"/>
      <c r="H222" s="11"/>
      <c r="I222" s="1"/>
      <c r="J222" s="7"/>
      <c r="K222" s="8"/>
      <c r="L222" s="11"/>
      <c r="M222" s="12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</row>
    <row r="223" spans="1:34" x14ac:dyDescent="0.25">
      <c r="A223" s="14"/>
      <c r="B223" s="5"/>
      <c r="C223" s="12"/>
      <c r="D223" s="11"/>
      <c r="E223" s="224"/>
      <c r="F223" s="11"/>
      <c r="G223" s="1"/>
      <c r="H223" s="11"/>
      <c r="I223" s="1"/>
      <c r="J223" s="7"/>
      <c r="K223" s="8"/>
      <c r="L223" s="11"/>
      <c r="M223" s="12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</row>
    <row r="224" spans="1:34" x14ac:dyDescent="0.25">
      <c r="A224" s="14"/>
      <c r="B224" s="5"/>
      <c r="C224" s="12"/>
      <c r="D224" s="11"/>
      <c r="E224" s="224"/>
      <c r="F224" s="11"/>
      <c r="G224" s="1"/>
      <c r="H224" s="11"/>
      <c r="I224" s="1"/>
      <c r="J224" s="7"/>
      <c r="K224" s="8"/>
      <c r="L224" s="11"/>
      <c r="M224" s="12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</row>
    <row r="225" spans="1:34" x14ac:dyDescent="0.25">
      <c r="A225" s="14"/>
      <c r="B225" s="5"/>
      <c r="C225" s="12"/>
      <c r="D225" s="11"/>
      <c r="E225" s="224"/>
      <c r="F225" s="11"/>
      <c r="G225" s="1"/>
      <c r="H225" s="11"/>
      <c r="I225" s="1"/>
      <c r="J225" s="7"/>
      <c r="K225" s="8"/>
      <c r="L225" s="11"/>
      <c r="M225" s="12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</row>
    <row r="226" spans="1:34" x14ac:dyDescent="0.25">
      <c r="A226" s="14"/>
      <c r="B226" s="5"/>
      <c r="C226" s="12"/>
      <c r="D226" s="11"/>
      <c r="E226" s="224"/>
      <c r="F226" s="11"/>
      <c r="G226" s="1"/>
      <c r="H226" s="11"/>
      <c r="I226" s="1"/>
      <c r="J226" s="7"/>
      <c r="K226" s="8"/>
      <c r="L226" s="11"/>
      <c r="M226" s="12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</row>
    <row r="227" spans="1:34" x14ac:dyDescent="0.25">
      <c r="A227" s="14"/>
      <c r="B227" s="5"/>
      <c r="C227" s="12"/>
      <c r="D227" s="11"/>
      <c r="E227" s="224"/>
      <c r="F227" s="11"/>
      <c r="G227" s="1"/>
      <c r="H227" s="11"/>
      <c r="I227" s="1"/>
      <c r="J227" s="7"/>
      <c r="K227" s="8"/>
      <c r="L227" s="11"/>
      <c r="M227" s="12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</row>
    <row r="228" spans="1:34" x14ac:dyDescent="0.25">
      <c r="A228" s="14"/>
      <c r="B228" s="5"/>
      <c r="C228" s="12"/>
      <c r="D228" s="11"/>
      <c r="E228" s="224"/>
      <c r="F228" s="11"/>
      <c r="G228" s="1"/>
      <c r="H228" s="11"/>
      <c r="I228" s="1"/>
      <c r="J228" s="7"/>
      <c r="K228" s="8"/>
      <c r="L228" s="11"/>
      <c r="M228" s="12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</row>
    <row r="229" spans="1:34" x14ac:dyDescent="0.25">
      <c r="A229" s="14"/>
      <c r="B229" s="5"/>
      <c r="C229" s="12"/>
      <c r="D229" s="11"/>
      <c r="E229" s="224"/>
      <c r="F229" s="11"/>
      <c r="G229" s="1"/>
      <c r="H229" s="11"/>
      <c r="I229" s="1"/>
      <c r="J229" s="7"/>
      <c r="K229" s="8"/>
      <c r="L229" s="11"/>
      <c r="M229" s="12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</row>
    <row r="230" spans="1:34" x14ac:dyDescent="0.25">
      <c r="A230" s="14"/>
      <c r="B230" s="5"/>
      <c r="C230" s="12"/>
      <c r="D230" s="11"/>
      <c r="E230" s="224"/>
      <c r="F230" s="11"/>
      <c r="G230" s="1"/>
      <c r="H230" s="11"/>
      <c r="I230" s="1"/>
      <c r="J230" s="7"/>
      <c r="K230" s="8"/>
      <c r="L230" s="11"/>
      <c r="M230" s="12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</row>
    <row r="231" spans="1:34" x14ac:dyDescent="0.25">
      <c r="A231" s="14"/>
      <c r="B231" s="5"/>
      <c r="C231" s="12"/>
      <c r="D231" s="11"/>
      <c r="E231" s="224"/>
      <c r="F231" s="11"/>
      <c r="G231" s="1"/>
      <c r="H231" s="11"/>
      <c r="I231" s="1"/>
      <c r="J231" s="7"/>
      <c r="K231" s="8"/>
      <c r="L231" s="11"/>
      <c r="M231" s="12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</row>
    <row r="232" spans="1:34" x14ac:dyDescent="0.25">
      <c r="A232" s="14"/>
      <c r="B232" s="5"/>
      <c r="C232" s="12"/>
      <c r="D232" s="11"/>
      <c r="E232" s="224"/>
      <c r="F232" s="11"/>
      <c r="G232" s="1"/>
      <c r="H232" s="11"/>
      <c r="I232" s="1"/>
      <c r="J232" s="7"/>
      <c r="K232" s="8"/>
      <c r="L232" s="11"/>
      <c r="M232" s="12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</row>
    <row r="233" spans="1:34" x14ac:dyDescent="0.25">
      <c r="A233" s="14"/>
      <c r="B233" s="5"/>
      <c r="C233" s="12"/>
      <c r="D233" s="11"/>
      <c r="E233" s="224"/>
      <c r="F233" s="11"/>
      <c r="G233" s="1"/>
      <c r="H233" s="11"/>
      <c r="I233" s="1"/>
      <c r="J233" s="7"/>
      <c r="K233" s="8"/>
      <c r="L233" s="11"/>
      <c r="M233" s="12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</row>
    <row r="234" spans="1:34" x14ac:dyDescent="0.25">
      <c r="A234" s="14"/>
      <c r="B234" s="5"/>
      <c r="C234" s="12"/>
      <c r="D234" s="11"/>
      <c r="E234" s="224"/>
      <c r="F234" s="11"/>
      <c r="G234" s="1"/>
      <c r="H234" s="11"/>
      <c r="I234" s="1"/>
      <c r="J234" s="7"/>
      <c r="K234" s="8"/>
      <c r="L234" s="11"/>
      <c r="M234" s="12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</row>
    <row r="235" spans="1:34" x14ac:dyDescent="0.25">
      <c r="A235" s="14"/>
      <c r="B235" s="5"/>
      <c r="C235" s="12"/>
      <c r="D235" s="11"/>
      <c r="E235" s="224"/>
      <c r="F235" s="11"/>
      <c r="G235" s="1"/>
      <c r="H235" s="11"/>
      <c r="I235" s="1"/>
      <c r="J235" s="7"/>
      <c r="K235" s="8"/>
      <c r="L235" s="11"/>
      <c r="M235" s="12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</row>
    <row r="236" spans="1:34" x14ac:dyDescent="0.25">
      <c r="A236" s="14"/>
      <c r="B236" s="5"/>
      <c r="C236" s="12"/>
      <c r="D236" s="11"/>
      <c r="E236" s="224"/>
      <c r="F236" s="11"/>
      <c r="G236" s="1"/>
      <c r="H236" s="11"/>
      <c r="I236" s="1"/>
      <c r="J236" s="7"/>
      <c r="K236" s="8"/>
      <c r="L236" s="11"/>
      <c r="M236" s="12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</row>
    <row r="237" spans="1:34" x14ac:dyDescent="0.25">
      <c r="A237" s="14"/>
      <c r="B237" s="5"/>
      <c r="C237" s="12"/>
      <c r="D237" s="11"/>
      <c r="E237" s="224"/>
      <c r="F237" s="11"/>
      <c r="G237" s="1"/>
      <c r="H237" s="11"/>
      <c r="I237" s="1"/>
      <c r="J237" s="7"/>
      <c r="K237" s="8"/>
      <c r="L237" s="11"/>
      <c r="M237" s="12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</row>
    <row r="238" spans="1:34" x14ac:dyDescent="0.25">
      <c r="A238" s="14"/>
      <c r="B238" s="5"/>
      <c r="C238" s="12"/>
      <c r="D238" s="11"/>
      <c r="E238" s="224"/>
      <c r="F238" s="11"/>
      <c r="G238" s="1"/>
      <c r="H238" s="11"/>
      <c r="I238" s="1"/>
      <c r="J238" s="7"/>
      <c r="K238" s="8"/>
      <c r="L238" s="11"/>
      <c r="M238" s="12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</row>
    <row r="239" spans="1:34" x14ac:dyDescent="0.25">
      <c r="A239" s="14"/>
      <c r="B239" s="5"/>
      <c r="C239" s="12"/>
      <c r="D239" s="11"/>
      <c r="E239" s="224"/>
      <c r="F239" s="11"/>
      <c r="G239" s="1"/>
      <c r="H239" s="11"/>
      <c r="I239" s="1"/>
      <c r="J239" s="7"/>
      <c r="K239" s="8"/>
      <c r="L239" s="11"/>
      <c r="M239" s="12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</row>
    <row r="240" spans="1:34" x14ac:dyDescent="0.25">
      <c r="A240" s="14"/>
      <c r="B240" s="5"/>
      <c r="C240" s="12"/>
      <c r="D240" s="11"/>
      <c r="E240" s="224"/>
      <c r="F240" s="11"/>
      <c r="G240" s="1"/>
      <c r="H240" s="11"/>
      <c r="I240" s="1"/>
      <c r="J240" s="7"/>
      <c r="K240" s="8"/>
      <c r="L240" s="11"/>
      <c r="M240" s="12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</row>
    <row r="241" spans="1:34" x14ac:dyDescent="0.25">
      <c r="A241" s="14"/>
      <c r="B241" s="5"/>
      <c r="C241" s="12"/>
      <c r="D241" s="11"/>
      <c r="E241" s="224"/>
      <c r="F241" s="11"/>
      <c r="G241" s="1"/>
      <c r="H241" s="11"/>
      <c r="I241" s="1"/>
      <c r="J241" s="7"/>
      <c r="K241" s="8"/>
      <c r="L241" s="11"/>
      <c r="M241" s="12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</row>
    <row r="242" spans="1:34" x14ac:dyDescent="0.25">
      <c r="A242" s="14"/>
      <c r="B242" s="5"/>
      <c r="C242" s="12"/>
      <c r="D242" s="11"/>
      <c r="E242" s="224"/>
      <c r="F242" s="11"/>
      <c r="G242" s="1"/>
      <c r="H242" s="11"/>
      <c r="I242" s="1"/>
      <c r="J242" s="7"/>
      <c r="K242" s="8"/>
      <c r="L242" s="11"/>
      <c r="M242" s="12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</row>
    <row r="243" spans="1:34" x14ac:dyDescent="0.25">
      <c r="A243" s="14"/>
      <c r="B243" s="5"/>
      <c r="C243" s="12"/>
      <c r="D243" s="11"/>
      <c r="E243" s="224"/>
      <c r="F243" s="11"/>
      <c r="G243" s="1"/>
      <c r="H243" s="11"/>
      <c r="I243" s="1"/>
      <c r="J243" s="7"/>
      <c r="K243" s="8"/>
      <c r="L243" s="11"/>
      <c r="M243" s="12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</row>
    <row r="244" spans="1:34" x14ac:dyDescent="0.25">
      <c r="A244" s="14"/>
      <c r="B244" s="5"/>
      <c r="C244" s="12"/>
      <c r="D244" s="11"/>
      <c r="E244" s="224"/>
      <c r="F244" s="11"/>
      <c r="G244" s="1"/>
      <c r="H244" s="11"/>
      <c r="I244" s="1"/>
      <c r="J244" s="7"/>
      <c r="K244" s="8"/>
      <c r="L244" s="11"/>
      <c r="M244" s="12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</row>
    <row r="245" spans="1:34" x14ac:dyDescent="0.25">
      <c r="A245" s="14"/>
      <c r="B245" s="5"/>
      <c r="C245" s="12"/>
      <c r="D245" s="11"/>
      <c r="E245" s="224"/>
      <c r="F245" s="11"/>
      <c r="G245" s="1"/>
      <c r="H245" s="11"/>
      <c r="I245" s="1"/>
      <c r="J245" s="7"/>
      <c r="K245" s="8"/>
      <c r="L245" s="11"/>
      <c r="M245" s="12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</row>
    <row r="246" spans="1:34" x14ac:dyDescent="0.25">
      <c r="A246" s="14"/>
      <c r="B246" s="5"/>
      <c r="C246" s="12"/>
      <c r="D246" s="11"/>
      <c r="E246" s="224"/>
      <c r="F246" s="11"/>
      <c r="G246" s="1"/>
      <c r="H246" s="11"/>
      <c r="I246" s="1"/>
      <c r="J246" s="7"/>
      <c r="K246" s="8"/>
      <c r="L246" s="11"/>
      <c r="M246" s="12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</row>
    <row r="247" spans="1:34" x14ac:dyDescent="0.25">
      <c r="A247" s="14"/>
      <c r="B247" s="5"/>
      <c r="C247" s="12"/>
      <c r="D247" s="11"/>
      <c r="E247" s="224"/>
      <c r="F247" s="11"/>
      <c r="G247" s="1"/>
      <c r="H247" s="11"/>
      <c r="I247" s="1"/>
      <c r="J247" s="7"/>
      <c r="K247" s="8"/>
      <c r="L247" s="11"/>
      <c r="M247" s="12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</row>
    <row r="248" spans="1:34" x14ac:dyDescent="0.25">
      <c r="A248" s="14"/>
      <c r="B248" s="5"/>
      <c r="C248" s="12"/>
      <c r="D248" s="11"/>
      <c r="E248" s="224"/>
      <c r="F248" s="11"/>
      <c r="G248" s="1"/>
      <c r="H248" s="11"/>
      <c r="I248" s="1"/>
      <c r="J248" s="7"/>
      <c r="K248" s="8"/>
      <c r="L248" s="11"/>
      <c r="M248" s="12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</row>
    <row r="249" spans="1:34" x14ac:dyDescent="0.25">
      <c r="A249" s="14"/>
      <c r="B249" s="5"/>
      <c r="C249" s="12"/>
      <c r="D249" s="11"/>
      <c r="E249" s="224"/>
      <c r="F249" s="11"/>
      <c r="G249" s="1"/>
      <c r="H249" s="11"/>
      <c r="I249" s="1"/>
      <c r="J249" s="7"/>
      <c r="K249" s="8"/>
      <c r="L249" s="11"/>
      <c r="M249" s="12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</row>
    <row r="250" spans="1:34" x14ac:dyDescent="0.25">
      <c r="A250" s="14"/>
      <c r="B250" s="5"/>
      <c r="C250" s="12"/>
      <c r="D250" s="11"/>
      <c r="E250" s="224"/>
      <c r="F250" s="11"/>
      <c r="G250" s="1"/>
      <c r="H250" s="11"/>
      <c r="I250" s="1"/>
      <c r="J250" s="7"/>
      <c r="K250" s="8"/>
      <c r="L250" s="11"/>
      <c r="M250" s="12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</row>
    <row r="251" spans="1:34" x14ac:dyDescent="0.25">
      <c r="A251" s="14"/>
      <c r="B251" s="5"/>
      <c r="C251" s="12"/>
      <c r="D251" s="11"/>
      <c r="E251" s="224"/>
      <c r="F251" s="11"/>
      <c r="G251" s="1"/>
      <c r="H251" s="11"/>
      <c r="I251" s="1"/>
      <c r="J251" s="7"/>
      <c r="K251" s="8"/>
      <c r="L251" s="11"/>
      <c r="M251" s="12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</row>
    <row r="252" spans="1:34" x14ac:dyDescent="0.25">
      <c r="A252" s="14"/>
      <c r="B252" s="5"/>
      <c r="C252" s="12"/>
      <c r="D252" s="11"/>
      <c r="E252" s="224"/>
      <c r="F252" s="11"/>
      <c r="G252" s="1"/>
      <c r="H252" s="11"/>
      <c r="I252" s="1"/>
      <c r="J252" s="7"/>
      <c r="K252" s="8"/>
      <c r="L252" s="11"/>
      <c r="M252" s="12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</row>
    <row r="253" spans="1:34" x14ac:dyDescent="0.25">
      <c r="A253" s="14"/>
      <c r="B253" s="5"/>
      <c r="C253" s="12"/>
      <c r="D253" s="11"/>
      <c r="E253" s="224"/>
      <c r="F253" s="11"/>
      <c r="G253" s="1"/>
      <c r="H253" s="11"/>
      <c r="I253" s="1"/>
      <c r="J253" s="7"/>
      <c r="K253" s="8"/>
      <c r="L253" s="11"/>
      <c r="M253" s="12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</row>
    <row r="254" spans="1:34" x14ac:dyDescent="0.25">
      <c r="A254" s="14"/>
      <c r="B254" s="5"/>
      <c r="C254" s="12"/>
      <c r="D254" s="11"/>
      <c r="E254" s="224"/>
      <c r="F254" s="11"/>
      <c r="G254" s="1"/>
      <c r="H254" s="11"/>
      <c r="I254" s="1"/>
      <c r="J254" s="7"/>
      <c r="K254" s="8"/>
      <c r="L254" s="11"/>
      <c r="M254" s="12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</row>
    <row r="255" spans="1:34" x14ac:dyDescent="0.25">
      <c r="A255" s="14"/>
      <c r="B255" s="5"/>
      <c r="C255" s="12"/>
      <c r="D255" s="11"/>
      <c r="E255" s="224"/>
      <c r="F255" s="11"/>
      <c r="G255" s="1"/>
      <c r="H255" s="11"/>
      <c r="I255" s="1"/>
      <c r="J255" s="7"/>
      <c r="K255" s="8"/>
      <c r="L255" s="11"/>
      <c r="M255" s="12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</row>
    <row r="256" spans="1:34" x14ac:dyDescent="0.25">
      <c r="A256" s="14"/>
      <c r="B256" s="5"/>
      <c r="C256" s="12"/>
      <c r="D256" s="11"/>
      <c r="E256" s="224"/>
      <c r="F256" s="11"/>
      <c r="G256" s="1"/>
      <c r="H256" s="11"/>
      <c r="I256" s="1"/>
      <c r="J256" s="7"/>
      <c r="K256" s="8"/>
      <c r="L256" s="11"/>
      <c r="M256" s="12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</row>
    <row r="257" spans="1:34" x14ac:dyDescent="0.25">
      <c r="A257" s="14"/>
      <c r="B257" s="5"/>
      <c r="C257" s="12"/>
      <c r="D257" s="11"/>
      <c r="E257" s="224"/>
      <c r="F257" s="11"/>
      <c r="G257" s="1"/>
      <c r="H257" s="11"/>
      <c r="I257" s="1"/>
      <c r="J257" s="7"/>
      <c r="K257" s="8"/>
      <c r="L257" s="11"/>
      <c r="M257" s="12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</row>
    <row r="258" spans="1:34" x14ac:dyDescent="0.25">
      <c r="A258" s="14"/>
      <c r="B258" s="5"/>
      <c r="C258" s="12"/>
      <c r="D258" s="11"/>
      <c r="E258" s="224"/>
      <c r="F258" s="11"/>
      <c r="G258" s="1"/>
      <c r="H258" s="11"/>
      <c r="I258" s="1"/>
      <c r="J258" s="7"/>
      <c r="K258" s="8"/>
      <c r="L258" s="11"/>
      <c r="M258" s="12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</row>
    <row r="259" spans="1:34" x14ac:dyDescent="0.25">
      <c r="A259" s="14"/>
      <c r="B259" s="5"/>
      <c r="C259" s="12"/>
      <c r="D259" s="11"/>
      <c r="E259" s="224"/>
      <c r="F259" s="11"/>
      <c r="G259" s="1"/>
      <c r="H259" s="11"/>
      <c r="I259" s="1"/>
      <c r="J259" s="7"/>
      <c r="K259" s="8"/>
      <c r="L259" s="11"/>
      <c r="M259" s="12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</row>
    <row r="260" spans="1:34" x14ac:dyDescent="0.25">
      <c r="A260" s="14"/>
      <c r="B260" s="5"/>
      <c r="C260" s="12"/>
      <c r="D260" s="11"/>
      <c r="E260" s="224"/>
      <c r="F260" s="11"/>
      <c r="G260" s="1"/>
      <c r="H260" s="11"/>
      <c r="I260" s="1"/>
      <c r="J260" s="7"/>
      <c r="K260" s="8"/>
      <c r="L260" s="11"/>
      <c r="M260" s="12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</row>
    <row r="261" spans="1:34" x14ac:dyDescent="0.25">
      <c r="A261" s="14"/>
      <c r="B261" s="5"/>
      <c r="C261" s="12"/>
      <c r="D261" s="11"/>
      <c r="E261" s="224"/>
      <c r="F261" s="11"/>
      <c r="G261" s="1"/>
      <c r="H261" s="11"/>
      <c r="I261" s="1"/>
      <c r="J261" s="7"/>
      <c r="K261" s="8"/>
      <c r="L261" s="11"/>
      <c r="M261" s="12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</row>
    <row r="262" spans="1:34" x14ac:dyDescent="0.25">
      <c r="A262" s="14"/>
      <c r="B262" s="5"/>
      <c r="C262" s="12"/>
      <c r="D262" s="11"/>
      <c r="E262" s="224"/>
      <c r="F262" s="11"/>
      <c r="G262" s="1"/>
      <c r="H262" s="11"/>
      <c r="I262" s="1"/>
      <c r="J262" s="7"/>
      <c r="K262" s="8"/>
      <c r="L262" s="11"/>
      <c r="M262" s="12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</row>
    <row r="263" spans="1:34" x14ac:dyDescent="0.25">
      <c r="A263" s="14"/>
      <c r="B263" s="5"/>
      <c r="C263" s="12"/>
      <c r="D263" s="11"/>
      <c r="E263" s="224"/>
      <c r="F263" s="11"/>
      <c r="G263" s="1"/>
      <c r="H263" s="11"/>
      <c r="I263" s="1"/>
      <c r="J263" s="7"/>
      <c r="K263" s="8"/>
      <c r="L263" s="11"/>
      <c r="M263" s="12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</row>
    <row r="264" spans="1:34" x14ac:dyDescent="0.25">
      <c r="A264" s="14"/>
      <c r="B264" s="5"/>
      <c r="C264" s="12"/>
      <c r="D264" s="11"/>
      <c r="E264" s="224"/>
      <c r="F264" s="11"/>
      <c r="G264" s="1"/>
      <c r="H264" s="11"/>
      <c r="I264" s="1"/>
      <c r="J264" s="7"/>
      <c r="K264" s="8"/>
      <c r="L264" s="11"/>
      <c r="M264" s="12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</row>
    <row r="265" spans="1:34" x14ac:dyDescent="0.25">
      <c r="A265" s="14"/>
      <c r="B265" s="5"/>
      <c r="C265" s="12"/>
      <c r="D265" s="11"/>
      <c r="E265" s="224"/>
      <c r="F265" s="11"/>
      <c r="G265" s="1"/>
      <c r="H265" s="11"/>
      <c r="I265" s="1"/>
      <c r="J265" s="7"/>
      <c r="K265" s="8"/>
      <c r="L265" s="11"/>
      <c r="M265" s="12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</row>
    <row r="266" spans="1:34" x14ac:dyDescent="0.25">
      <c r="A266" s="14"/>
      <c r="B266" s="5"/>
      <c r="C266" s="12"/>
      <c r="D266" s="11"/>
      <c r="E266" s="224"/>
      <c r="F266" s="11"/>
      <c r="G266" s="1"/>
      <c r="H266" s="11"/>
      <c r="I266" s="1"/>
      <c r="J266" s="7"/>
      <c r="K266" s="8"/>
      <c r="L266" s="11"/>
      <c r="M266" s="12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</row>
    <row r="267" spans="1:34" x14ac:dyDescent="0.25">
      <c r="A267" s="14"/>
      <c r="B267" s="5"/>
      <c r="C267" s="12"/>
      <c r="D267" s="11"/>
      <c r="E267" s="224"/>
      <c r="F267" s="11"/>
      <c r="G267" s="1"/>
      <c r="H267" s="11"/>
      <c r="I267" s="1"/>
      <c r="J267" s="7"/>
      <c r="K267" s="8"/>
      <c r="L267" s="11"/>
      <c r="M267" s="12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</row>
    <row r="268" spans="1:34" x14ac:dyDescent="0.25">
      <c r="A268" s="14"/>
      <c r="B268" s="5"/>
      <c r="C268" s="12"/>
      <c r="D268" s="11"/>
      <c r="E268" s="224"/>
      <c r="F268" s="11"/>
      <c r="G268" s="1"/>
      <c r="H268" s="11"/>
      <c r="I268" s="1"/>
      <c r="J268" s="7"/>
      <c r="K268" s="8"/>
      <c r="L268" s="11"/>
      <c r="M268" s="12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</row>
    <row r="269" spans="1:34" x14ac:dyDescent="0.25">
      <c r="A269" s="14"/>
      <c r="B269" s="5"/>
      <c r="C269" s="12"/>
      <c r="D269" s="11"/>
      <c r="E269" s="224"/>
      <c r="F269" s="11"/>
      <c r="G269" s="1"/>
      <c r="H269" s="11"/>
      <c r="I269" s="1"/>
      <c r="J269" s="7"/>
      <c r="K269" s="8"/>
      <c r="L269" s="11"/>
      <c r="M269" s="12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</row>
    <row r="270" spans="1:34" x14ac:dyDescent="0.25">
      <c r="A270" s="14"/>
      <c r="B270" s="5"/>
      <c r="C270" s="12"/>
      <c r="D270" s="11"/>
      <c r="E270" s="224"/>
      <c r="F270" s="11"/>
      <c r="G270" s="1"/>
      <c r="H270" s="11"/>
      <c r="I270" s="1"/>
      <c r="J270" s="7"/>
      <c r="K270" s="8"/>
      <c r="L270" s="11"/>
      <c r="M270" s="12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</row>
    <row r="271" spans="1:34" x14ac:dyDescent="0.25">
      <c r="A271" s="14"/>
      <c r="B271" s="5"/>
      <c r="C271" s="12"/>
      <c r="D271" s="11"/>
      <c r="E271" s="224"/>
      <c r="F271" s="11"/>
      <c r="G271" s="1"/>
      <c r="H271" s="11"/>
      <c r="I271" s="1"/>
      <c r="J271" s="7"/>
      <c r="K271" s="8"/>
      <c r="L271" s="11"/>
      <c r="M271" s="12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</row>
    <row r="272" spans="1:34" x14ac:dyDescent="0.25">
      <c r="A272" s="14"/>
      <c r="B272" s="5"/>
      <c r="C272" s="12"/>
      <c r="D272" s="11"/>
      <c r="E272" s="224"/>
      <c r="F272" s="11"/>
      <c r="G272" s="1"/>
      <c r="H272" s="11"/>
      <c r="I272" s="1"/>
      <c r="J272" s="7"/>
      <c r="K272" s="8"/>
      <c r="L272" s="11"/>
      <c r="M272" s="12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</row>
    <row r="273" spans="1:34" x14ac:dyDescent="0.25">
      <c r="A273" s="14"/>
      <c r="B273" s="5"/>
      <c r="C273" s="12"/>
      <c r="D273" s="11"/>
      <c r="E273" s="224"/>
      <c r="F273" s="11"/>
      <c r="G273" s="1"/>
      <c r="H273" s="11"/>
      <c r="I273" s="1"/>
      <c r="J273" s="7"/>
      <c r="K273" s="8"/>
      <c r="L273" s="11"/>
      <c r="M273" s="12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</row>
    <row r="274" spans="1:34" x14ac:dyDescent="0.25">
      <c r="A274" s="14"/>
      <c r="B274" s="5"/>
      <c r="C274" s="12"/>
      <c r="D274" s="11"/>
      <c r="E274" s="224"/>
      <c r="F274" s="11"/>
      <c r="G274" s="1"/>
      <c r="H274" s="11"/>
      <c r="I274" s="1"/>
      <c r="J274" s="7"/>
      <c r="K274" s="8"/>
      <c r="L274" s="11"/>
      <c r="M274" s="12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</row>
    <row r="275" spans="1:34" x14ac:dyDescent="0.25">
      <c r="A275" s="14"/>
      <c r="B275" s="5"/>
      <c r="C275" s="12"/>
      <c r="D275" s="11"/>
      <c r="E275" s="224"/>
      <c r="F275" s="11"/>
      <c r="G275" s="1"/>
      <c r="H275" s="11"/>
      <c r="I275" s="1"/>
      <c r="J275" s="7"/>
      <c r="K275" s="8"/>
      <c r="L275" s="11"/>
      <c r="M275" s="12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</row>
    <row r="276" spans="1:34" x14ac:dyDescent="0.25">
      <c r="A276" s="14"/>
      <c r="B276" s="5"/>
      <c r="C276" s="12"/>
      <c r="D276" s="11"/>
      <c r="E276" s="224"/>
      <c r="F276" s="11"/>
      <c r="G276" s="1"/>
      <c r="H276" s="11"/>
      <c r="I276" s="1"/>
      <c r="J276" s="7"/>
      <c r="K276" s="8"/>
      <c r="L276" s="11"/>
      <c r="M276" s="12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</row>
    <row r="277" spans="1:34" x14ac:dyDescent="0.25">
      <c r="A277" s="14"/>
      <c r="B277" s="5"/>
      <c r="C277" s="12"/>
      <c r="D277" s="11"/>
      <c r="E277" s="224"/>
      <c r="F277" s="11"/>
      <c r="G277" s="1"/>
      <c r="H277" s="11"/>
      <c r="I277" s="1"/>
      <c r="J277" s="7"/>
      <c r="K277" s="8"/>
      <c r="L277" s="11"/>
      <c r="M277" s="12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</row>
    <row r="278" spans="1:34" x14ac:dyDescent="0.25">
      <c r="A278" s="14"/>
      <c r="B278" s="5"/>
      <c r="C278" s="12"/>
      <c r="D278" s="11"/>
      <c r="E278" s="224"/>
      <c r="F278" s="11"/>
      <c r="G278" s="1"/>
      <c r="H278" s="11"/>
      <c r="I278" s="1"/>
      <c r="J278" s="7"/>
      <c r="K278" s="8"/>
      <c r="L278" s="11"/>
      <c r="M278" s="12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</row>
    <row r="279" spans="1:34" x14ac:dyDescent="0.25">
      <c r="A279" s="14"/>
      <c r="B279" s="5"/>
      <c r="C279" s="12"/>
      <c r="D279" s="11"/>
      <c r="E279" s="224"/>
      <c r="F279" s="11"/>
      <c r="G279" s="1"/>
      <c r="H279" s="11"/>
      <c r="I279" s="1"/>
      <c r="J279" s="7"/>
      <c r="K279" s="8"/>
      <c r="L279" s="11"/>
      <c r="M279" s="12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</row>
    <row r="280" spans="1:34" x14ac:dyDescent="0.25">
      <c r="A280" s="14"/>
      <c r="B280" s="5"/>
      <c r="C280" s="12"/>
      <c r="D280" s="11"/>
      <c r="E280" s="224"/>
      <c r="F280" s="11"/>
      <c r="G280" s="1"/>
      <c r="H280" s="11"/>
      <c r="I280" s="1"/>
      <c r="J280" s="7"/>
      <c r="K280" s="8"/>
      <c r="L280" s="11"/>
      <c r="M280" s="12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</row>
    <row r="281" spans="1:34" x14ac:dyDescent="0.25">
      <c r="A281" s="14"/>
      <c r="B281" s="5"/>
      <c r="C281" s="12"/>
      <c r="D281" s="11"/>
      <c r="E281" s="224"/>
      <c r="F281" s="11"/>
      <c r="G281" s="1"/>
      <c r="H281" s="11"/>
      <c r="I281" s="1"/>
      <c r="J281" s="7"/>
      <c r="K281" s="8"/>
      <c r="L281" s="11"/>
      <c r="M281" s="12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</row>
    <row r="282" spans="1:34" x14ac:dyDescent="0.25">
      <c r="A282" s="14"/>
      <c r="B282" s="5"/>
      <c r="C282" s="12"/>
      <c r="D282" s="11"/>
      <c r="E282" s="224"/>
      <c r="F282" s="11"/>
      <c r="G282" s="1"/>
      <c r="H282" s="11"/>
      <c r="I282" s="1"/>
      <c r="J282" s="7"/>
      <c r="K282" s="8"/>
      <c r="L282" s="11"/>
      <c r="M282" s="12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</row>
    <row r="283" spans="1:34" x14ac:dyDescent="0.25">
      <c r="A283" s="14"/>
      <c r="B283" s="5"/>
      <c r="C283" s="12"/>
      <c r="D283" s="11"/>
      <c r="E283" s="224"/>
      <c r="F283" s="11"/>
      <c r="G283" s="1"/>
      <c r="H283" s="11"/>
      <c r="I283" s="1"/>
      <c r="J283" s="7"/>
      <c r="K283" s="8"/>
      <c r="L283" s="11"/>
      <c r="M283" s="12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</row>
    <row r="284" spans="1:34" x14ac:dyDescent="0.25">
      <c r="A284" s="14"/>
      <c r="B284" s="5"/>
      <c r="C284" s="12"/>
      <c r="D284" s="11"/>
      <c r="E284" s="224"/>
      <c r="F284" s="11"/>
      <c r="G284" s="1"/>
      <c r="H284" s="11"/>
      <c r="I284" s="1"/>
      <c r="J284" s="7"/>
      <c r="K284" s="8"/>
      <c r="L284" s="11"/>
      <c r="M284" s="12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</row>
    <row r="285" spans="1:34" x14ac:dyDescent="0.25">
      <c r="A285" s="14"/>
      <c r="B285" s="5"/>
      <c r="C285" s="12"/>
      <c r="D285" s="11"/>
      <c r="E285" s="224"/>
      <c r="F285" s="11"/>
      <c r="G285" s="1"/>
      <c r="H285" s="11"/>
      <c r="I285" s="1"/>
      <c r="J285" s="7"/>
      <c r="K285" s="8"/>
      <c r="L285" s="11"/>
      <c r="M285" s="12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</row>
    <row r="286" spans="1:34" x14ac:dyDescent="0.25">
      <c r="A286" s="14"/>
      <c r="B286" s="5"/>
      <c r="C286" s="12"/>
      <c r="D286" s="11"/>
      <c r="E286" s="224"/>
      <c r="F286" s="11"/>
      <c r="G286" s="1"/>
      <c r="H286" s="11"/>
      <c r="I286" s="1"/>
      <c r="J286" s="7"/>
      <c r="K286" s="8"/>
      <c r="L286" s="11"/>
      <c r="M286" s="12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</row>
    <row r="287" spans="1:34" x14ac:dyDescent="0.25">
      <c r="A287" s="14"/>
      <c r="B287" s="5"/>
      <c r="C287" s="12"/>
      <c r="D287" s="11"/>
      <c r="E287" s="224"/>
      <c r="F287" s="11"/>
      <c r="G287" s="1"/>
      <c r="H287" s="11"/>
      <c r="I287" s="1"/>
      <c r="J287" s="7"/>
      <c r="K287" s="8"/>
      <c r="L287" s="11"/>
      <c r="M287" s="12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</row>
    <row r="288" spans="1:34" x14ac:dyDescent="0.25">
      <c r="A288" s="14"/>
      <c r="B288" s="5"/>
      <c r="C288" s="12"/>
      <c r="D288" s="11"/>
      <c r="E288" s="224"/>
      <c r="F288" s="11"/>
      <c r="G288" s="1"/>
      <c r="H288" s="11"/>
      <c r="I288" s="1"/>
      <c r="J288" s="7"/>
      <c r="K288" s="8"/>
      <c r="L288" s="11"/>
      <c r="M288" s="12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</row>
    <row r="289" spans="1:34" x14ac:dyDescent="0.25">
      <c r="A289" s="14"/>
      <c r="B289" s="5"/>
      <c r="C289" s="12"/>
      <c r="D289" s="11"/>
      <c r="E289" s="224"/>
      <c r="F289" s="11"/>
      <c r="G289" s="1"/>
      <c r="H289" s="11"/>
      <c r="I289" s="1"/>
      <c r="J289" s="7"/>
      <c r="K289" s="8"/>
      <c r="L289" s="11"/>
      <c r="M289" s="12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</row>
    <row r="290" spans="1:34" x14ac:dyDescent="0.25">
      <c r="A290" s="14"/>
      <c r="B290" s="5"/>
      <c r="C290" s="12"/>
      <c r="D290" s="11"/>
      <c r="E290" s="224"/>
      <c r="F290" s="11"/>
      <c r="G290" s="1"/>
      <c r="H290" s="11"/>
      <c r="I290" s="1"/>
      <c r="J290" s="7"/>
      <c r="K290" s="8"/>
      <c r="L290" s="11"/>
      <c r="M290" s="12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</row>
    <row r="291" spans="1:34" x14ac:dyDescent="0.25">
      <c r="A291" s="14"/>
      <c r="B291" s="5"/>
      <c r="C291" s="12"/>
      <c r="D291" s="11"/>
      <c r="E291" s="224"/>
      <c r="F291" s="11"/>
      <c r="G291" s="1"/>
      <c r="H291" s="11"/>
      <c r="I291" s="1"/>
      <c r="J291" s="7"/>
      <c r="K291" s="8"/>
      <c r="L291" s="11"/>
      <c r="M291" s="12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</row>
    <row r="292" spans="1:34" x14ac:dyDescent="0.25">
      <c r="A292" s="14"/>
      <c r="B292" s="5"/>
      <c r="C292" s="12"/>
      <c r="D292" s="11"/>
      <c r="E292" s="224"/>
      <c r="F292" s="11"/>
      <c r="G292" s="1"/>
      <c r="H292" s="11"/>
      <c r="I292" s="1"/>
      <c r="J292" s="7"/>
      <c r="K292" s="8"/>
      <c r="L292" s="11"/>
      <c r="M292" s="12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</row>
    <row r="293" spans="1:34" x14ac:dyDescent="0.25">
      <c r="A293" s="14"/>
      <c r="B293" s="5"/>
      <c r="C293" s="12"/>
      <c r="D293" s="11"/>
      <c r="E293" s="224"/>
      <c r="F293" s="11"/>
      <c r="G293" s="1"/>
      <c r="H293" s="11"/>
      <c r="I293" s="1"/>
      <c r="J293" s="7"/>
      <c r="K293" s="8"/>
      <c r="L293" s="11"/>
      <c r="M293" s="12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</row>
    <row r="294" spans="1:34" x14ac:dyDescent="0.25">
      <c r="A294" s="14"/>
      <c r="B294" s="5"/>
      <c r="C294" s="12"/>
      <c r="D294" s="11"/>
      <c r="E294" s="224"/>
      <c r="F294" s="11"/>
      <c r="G294" s="1"/>
      <c r="H294" s="11"/>
      <c r="I294" s="1"/>
      <c r="J294" s="7"/>
      <c r="K294" s="8"/>
      <c r="L294" s="11"/>
      <c r="M294" s="12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</row>
    <row r="295" spans="1:34" x14ac:dyDescent="0.25">
      <c r="A295" s="14"/>
      <c r="B295" s="5"/>
      <c r="C295" s="12"/>
      <c r="D295" s="11"/>
      <c r="E295" s="224"/>
      <c r="F295" s="11"/>
      <c r="G295" s="1"/>
      <c r="H295" s="11"/>
      <c r="I295" s="1"/>
      <c r="J295" s="7"/>
      <c r="K295" s="8"/>
      <c r="L295" s="11"/>
      <c r="M295" s="12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</row>
    <row r="296" spans="1:34" x14ac:dyDescent="0.25">
      <c r="A296" s="14"/>
      <c r="B296" s="5"/>
      <c r="C296" s="12"/>
      <c r="D296" s="11"/>
      <c r="E296" s="224"/>
      <c r="F296" s="11"/>
      <c r="G296" s="1"/>
      <c r="H296" s="11"/>
      <c r="I296" s="1"/>
      <c r="J296" s="7"/>
      <c r="K296" s="8"/>
      <c r="L296" s="11"/>
      <c r="M296" s="12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</row>
    <row r="297" spans="1:34" x14ac:dyDescent="0.25">
      <c r="A297" s="14"/>
      <c r="B297" s="5"/>
      <c r="C297" s="12"/>
      <c r="D297" s="11"/>
      <c r="E297" s="224"/>
      <c r="F297" s="11"/>
      <c r="G297" s="1"/>
      <c r="H297" s="11"/>
      <c r="I297" s="1"/>
      <c r="J297" s="7"/>
      <c r="K297" s="8"/>
      <c r="L297" s="11"/>
      <c r="M297" s="12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</row>
    <row r="298" spans="1:34" x14ac:dyDescent="0.25">
      <c r="A298" s="14"/>
      <c r="B298" s="5"/>
      <c r="C298" s="12"/>
      <c r="D298" s="11"/>
      <c r="E298" s="224"/>
      <c r="F298" s="11"/>
      <c r="G298" s="1"/>
      <c r="H298" s="11"/>
      <c r="I298" s="1"/>
      <c r="J298" s="7"/>
      <c r="K298" s="8"/>
      <c r="L298" s="11"/>
      <c r="M298" s="12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</row>
    <row r="299" spans="1:34" x14ac:dyDescent="0.25">
      <c r="A299" s="14"/>
      <c r="B299" s="5"/>
      <c r="C299" s="12"/>
      <c r="D299" s="11"/>
      <c r="E299" s="224"/>
      <c r="F299" s="11"/>
      <c r="G299" s="1"/>
      <c r="H299" s="11"/>
      <c r="I299" s="1"/>
      <c r="J299" s="7"/>
      <c r="K299" s="8"/>
      <c r="L299" s="11"/>
      <c r="M299" s="12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</row>
    <row r="300" spans="1:34" x14ac:dyDescent="0.25">
      <c r="A300" s="14"/>
      <c r="B300" s="5"/>
      <c r="C300" s="12"/>
      <c r="D300" s="11"/>
      <c r="E300" s="224"/>
      <c r="F300" s="11"/>
      <c r="G300" s="1"/>
      <c r="H300" s="11"/>
      <c r="I300" s="1"/>
      <c r="J300" s="7"/>
      <c r="K300" s="8"/>
      <c r="L300" s="11"/>
      <c r="M300" s="12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</row>
    <row r="301" spans="1:34" x14ac:dyDescent="0.25">
      <c r="A301" s="14"/>
      <c r="B301" s="5"/>
      <c r="C301" s="12"/>
      <c r="D301" s="11"/>
      <c r="E301" s="224"/>
      <c r="F301" s="11"/>
      <c r="G301" s="1"/>
      <c r="H301" s="11"/>
      <c r="I301" s="1"/>
      <c r="J301" s="7"/>
      <c r="K301" s="8"/>
      <c r="L301" s="11"/>
      <c r="M301" s="12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  <c r="Z301" s="14"/>
      <c r="AA301" s="14"/>
      <c r="AB301" s="14"/>
      <c r="AC301" s="14"/>
      <c r="AD301" s="14"/>
      <c r="AE301" s="14"/>
      <c r="AF301" s="14"/>
      <c r="AG301" s="14"/>
      <c r="AH301" s="14"/>
    </row>
    <row r="302" spans="1:34" x14ac:dyDescent="0.25">
      <c r="A302" s="14"/>
      <c r="B302" s="5"/>
      <c r="C302" s="12"/>
      <c r="D302" s="11"/>
      <c r="E302" s="224"/>
      <c r="F302" s="11"/>
      <c r="G302" s="1"/>
      <c r="H302" s="11"/>
      <c r="I302" s="1"/>
      <c r="J302" s="7"/>
      <c r="K302" s="8"/>
      <c r="L302" s="11"/>
      <c r="M302" s="12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  <c r="Z302" s="14"/>
      <c r="AA302" s="14"/>
      <c r="AB302" s="14"/>
      <c r="AC302" s="14"/>
      <c r="AD302" s="14"/>
      <c r="AE302" s="14"/>
      <c r="AF302" s="14"/>
      <c r="AG302" s="14"/>
      <c r="AH302" s="14"/>
    </row>
    <row r="303" spans="1:34" x14ac:dyDescent="0.25">
      <c r="A303" s="14"/>
      <c r="B303" s="5"/>
      <c r="C303" s="12"/>
      <c r="D303" s="11"/>
      <c r="E303" s="224"/>
      <c r="F303" s="11"/>
      <c r="G303" s="1"/>
      <c r="H303" s="11"/>
      <c r="I303" s="1"/>
      <c r="J303" s="7"/>
      <c r="K303" s="8"/>
      <c r="L303" s="11"/>
      <c r="M303" s="12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  <c r="Z303" s="14"/>
      <c r="AA303" s="14"/>
      <c r="AB303" s="14"/>
      <c r="AC303" s="14"/>
      <c r="AD303" s="14"/>
      <c r="AE303" s="14"/>
      <c r="AF303" s="14"/>
      <c r="AG303" s="14"/>
      <c r="AH303" s="14"/>
    </row>
    <row r="304" spans="1:34" x14ac:dyDescent="0.25">
      <c r="A304" s="14"/>
      <c r="B304" s="5"/>
      <c r="C304" s="12"/>
      <c r="D304" s="11"/>
      <c r="E304" s="224"/>
      <c r="F304" s="11"/>
      <c r="G304" s="1"/>
      <c r="H304" s="11"/>
      <c r="I304" s="1"/>
      <c r="J304" s="7"/>
      <c r="K304" s="8"/>
      <c r="L304" s="11"/>
      <c r="M304" s="12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  <c r="Z304" s="14"/>
      <c r="AA304" s="14"/>
      <c r="AB304" s="14"/>
      <c r="AC304" s="14"/>
      <c r="AD304" s="14"/>
      <c r="AE304" s="14"/>
      <c r="AF304" s="14"/>
      <c r="AG304" s="14"/>
      <c r="AH304" s="14"/>
    </row>
    <row r="305" spans="1:34" x14ac:dyDescent="0.25">
      <c r="A305" s="14"/>
      <c r="B305" s="5"/>
      <c r="C305" s="12"/>
      <c r="D305" s="11"/>
      <c r="E305" s="224"/>
      <c r="F305" s="11"/>
      <c r="G305" s="1"/>
      <c r="H305" s="11"/>
      <c r="I305" s="1"/>
      <c r="J305" s="7"/>
      <c r="K305" s="8"/>
      <c r="L305" s="11"/>
      <c r="M305" s="12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  <c r="Z305" s="14"/>
      <c r="AA305" s="14"/>
      <c r="AB305" s="14"/>
      <c r="AC305" s="14"/>
      <c r="AD305" s="14"/>
      <c r="AE305" s="14"/>
      <c r="AF305" s="14"/>
      <c r="AG305" s="14"/>
      <c r="AH305" s="14"/>
    </row>
    <row r="306" spans="1:34" x14ac:dyDescent="0.25">
      <c r="A306" s="14"/>
      <c r="B306" s="5"/>
      <c r="C306" s="12"/>
      <c r="D306" s="11"/>
      <c r="E306" s="224"/>
      <c r="F306" s="11"/>
      <c r="G306" s="1"/>
      <c r="H306" s="11"/>
      <c r="I306" s="1"/>
      <c r="J306" s="7"/>
      <c r="K306" s="8"/>
      <c r="L306" s="11"/>
      <c r="M306" s="12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  <c r="Z306" s="14"/>
      <c r="AA306" s="14"/>
      <c r="AB306" s="14"/>
      <c r="AC306" s="14"/>
      <c r="AD306" s="14"/>
      <c r="AE306" s="14"/>
      <c r="AF306" s="14"/>
      <c r="AG306" s="14"/>
      <c r="AH306" s="14"/>
    </row>
    <row r="307" spans="1:34" x14ac:dyDescent="0.25">
      <c r="A307" s="14"/>
      <c r="B307" s="5"/>
      <c r="C307" s="12"/>
      <c r="D307" s="11"/>
      <c r="E307" s="224"/>
      <c r="F307" s="11"/>
      <c r="G307" s="1"/>
      <c r="H307" s="11"/>
      <c r="I307" s="1"/>
      <c r="J307" s="7"/>
      <c r="K307" s="8"/>
      <c r="L307" s="11"/>
      <c r="M307" s="12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  <c r="Z307" s="14"/>
      <c r="AA307" s="14"/>
      <c r="AB307" s="14"/>
      <c r="AC307" s="14"/>
      <c r="AD307" s="14"/>
      <c r="AE307" s="14"/>
      <c r="AF307" s="14"/>
      <c r="AG307" s="14"/>
      <c r="AH307" s="14"/>
    </row>
    <row r="308" spans="1:34" x14ac:dyDescent="0.25">
      <c r="A308" s="14"/>
      <c r="B308" s="5"/>
      <c r="C308" s="12"/>
      <c r="D308" s="11"/>
      <c r="E308" s="224"/>
      <c r="F308" s="11"/>
      <c r="G308" s="1"/>
      <c r="H308" s="11"/>
      <c r="I308" s="1"/>
      <c r="J308" s="7"/>
      <c r="K308" s="8"/>
      <c r="L308" s="11"/>
      <c r="M308" s="12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  <c r="Z308" s="14"/>
      <c r="AA308" s="14"/>
      <c r="AB308" s="14"/>
      <c r="AC308" s="14"/>
      <c r="AD308" s="14"/>
      <c r="AE308" s="14"/>
      <c r="AF308" s="14"/>
      <c r="AG308" s="14"/>
      <c r="AH308" s="14"/>
    </row>
    <row r="309" spans="1:34" x14ac:dyDescent="0.25">
      <c r="A309" s="14"/>
      <c r="B309" s="5"/>
      <c r="C309" s="12"/>
      <c r="D309" s="11"/>
      <c r="E309" s="224"/>
      <c r="F309" s="11"/>
      <c r="G309" s="1"/>
      <c r="H309" s="11"/>
      <c r="I309" s="1"/>
      <c r="J309" s="7"/>
      <c r="K309" s="8"/>
      <c r="L309" s="11"/>
      <c r="M309" s="12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  <c r="Z309" s="14"/>
      <c r="AA309" s="14"/>
      <c r="AB309" s="14"/>
      <c r="AC309" s="14"/>
      <c r="AD309" s="14"/>
      <c r="AE309" s="14"/>
      <c r="AF309" s="14"/>
      <c r="AG309" s="14"/>
      <c r="AH309" s="14"/>
    </row>
    <row r="310" spans="1:34" x14ac:dyDescent="0.25">
      <c r="A310" s="14"/>
      <c r="B310" s="5"/>
      <c r="C310" s="12"/>
      <c r="D310" s="11"/>
      <c r="E310" s="224"/>
      <c r="F310" s="11"/>
      <c r="G310" s="1"/>
      <c r="H310" s="11"/>
      <c r="I310" s="1"/>
      <c r="J310" s="7"/>
      <c r="K310" s="8"/>
      <c r="L310" s="11"/>
      <c r="M310" s="12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  <c r="Z310" s="14"/>
      <c r="AA310" s="14"/>
      <c r="AB310" s="14"/>
      <c r="AC310" s="14"/>
      <c r="AD310" s="14"/>
      <c r="AE310" s="14"/>
      <c r="AF310" s="14"/>
      <c r="AG310" s="14"/>
      <c r="AH310" s="14"/>
    </row>
    <row r="311" spans="1:34" x14ac:dyDescent="0.25">
      <c r="A311" s="14"/>
      <c r="B311" s="5"/>
      <c r="C311" s="12"/>
      <c r="D311" s="11"/>
      <c r="E311" s="224"/>
      <c r="F311" s="11"/>
      <c r="G311" s="1"/>
      <c r="H311" s="11"/>
      <c r="I311" s="1"/>
      <c r="J311" s="7"/>
      <c r="K311" s="8"/>
      <c r="L311" s="11"/>
      <c r="M311" s="12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  <c r="Z311" s="14"/>
      <c r="AA311" s="14"/>
      <c r="AB311" s="14"/>
      <c r="AC311" s="14"/>
      <c r="AD311" s="14"/>
      <c r="AE311" s="14"/>
      <c r="AF311" s="14"/>
      <c r="AG311" s="14"/>
      <c r="AH311" s="14"/>
    </row>
    <row r="312" spans="1:34" x14ac:dyDescent="0.25">
      <c r="A312" s="14"/>
      <c r="B312" s="5"/>
      <c r="C312" s="12"/>
      <c r="D312" s="11"/>
      <c r="E312" s="224"/>
      <c r="F312" s="11"/>
      <c r="G312" s="1"/>
      <c r="H312" s="11"/>
      <c r="I312" s="1"/>
      <c r="J312" s="7"/>
      <c r="K312" s="8"/>
      <c r="L312" s="11"/>
      <c r="M312" s="12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  <c r="Z312" s="14"/>
      <c r="AA312" s="14"/>
      <c r="AB312" s="14"/>
      <c r="AC312" s="14"/>
      <c r="AD312" s="14"/>
      <c r="AE312" s="14"/>
      <c r="AF312" s="14"/>
      <c r="AG312" s="14"/>
      <c r="AH312" s="14"/>
    </row>
    <row r="313" spans="1:34" x14ac:dyDescent="0.25">
      <c r="A313" s="14"/>
      <c r="B313" s="5"/>
      <c r="C313" s="12"/>
      <c r="D313" s="11"/>
      <c r="E313" s="224"/>
      <c r="F313" s="11"/>
      <c r="G313" s="1"/>
      <c r="H313" s="11"/>
      <c r="I313" s="1"/>
      <c r="J313" s="7"/>
      <c r="K313" s="8"/>
      <c r="L313" s="11"/>
      <c r="M313" s="12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  <c r="Z313" s="14"/>
      <c r="AA313" s="14"/>
      <c r="AB313" s="14"/>
      <c r="AC313" s="14"/>
      <c r="AD313" s="14"/>
      <c r="AE313" s="14"/>
      <c r="AF313" s="14"/>
      <c r="AG313" s="14"/>
      <c r="AH313" s="14"/>
    </row>
    <row r="314" spans="1:34" x14ac:dyDescent="0.25">
      <c r="A314" s="14"/>
      <c r="B314" s="5"/>
      <c r="C314" s="12"/>
      <c r="D314" s="11"/>
      <c r="E314" s="224"/>
      <c r="F314" s="11"/>
      <c r="G314" s="1"/>
      <c r="H314" s="11"/>
      <c r="I314" s="1"/>
      <c r="J314" s="7"/>
      <c r="K314" s="8"/>
      <c r="L314" s="11"/>
      <c r="M314" s="12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  <c r="Z314" s="14"/>
      <c r="AA314" s="14"/>
      <c r="AB314" s="14"/>
      <c r="AC314" s="14"/>
      <c r="AD314" s="14"/>
      <c r="AE314" s="14"/>
      <c r="AF314" s="14"/>
      <c r="AG314" s="14"/>
      <c r="AH314" s="14"/>
    </row>
    <row r="315" spans="1:34" x14ac:dyDescent="0.25">
      <c r="A315" s="14"/>
      <c r="B315" s="5"/>
      <c r="C315" s="12"/>
      <c r="D315" s="11"/>
      <c r="E315" s="224"/>
      <c r="F315" s="11"/>
      <c r="G315" s="1"/>
      <c r="H315" s="11"/>
      <c r="I315" s="1"/>
      <c r="J315" s="7"/>
      <c r="K315" s="8"/>
      <c r="L315" s="11"/>
      <c r="M315" s="12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  <c r="Z315" s="14"/>
      <c r="AA315" s="14"/>
      <c r="AB315" s="14"/>
      <c r="AC315" s="14"/>
      <c r="AD315" s="14"/>
      <c r="AE315" s="14"/>
      <c r="AF315" s="14"/>
      <c r="AG315" s="14"/>
      <c r="AH315" s="14"/>
    </row>
    <row r="316" spans="1:34" x14ac:dyDescent="0.25">
      <c r="A316" s="14"/>
      <c r="B316" s="5"/>
      <c r="C316" s="12"/>
      <c r="D316" s="11"/>
      <c r="E316" s="224"/>
      <c r="F316" s="11"/>
      <c r="G316" s="1"/>
      <c r="H316" s="11"/>
      <c r="I316" s="1"/>
      <c r="J316" s="7"/>
      <c r="K316" s="8"/>
      <c r="L316" s="11"/>
      <c r="M316" s="12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  <c r="Z316" s="14"/>
      <c r="AA316" s="14"/>
      <c r="AB316" s="14"/>
      <c r="AC316" s="14"/>
      <c r="AD316" s="14"/>
      <c r="AE316" s="14"/>
      <c r="AF316" s="14"/>
      <c r="AG316" s="14"/>
      <c r="AH316" s="14"/>
    </row>
    <row r="317" spans="1:34" x14ac:dyDescent="0.25">
      <c r="A317" s="14"/>
      <c r="B317" s="5"/>
      <c r="C317" s="12"/>
      <c r="D317" s="11"/>
      <c r="E317" s="224"/>
      <c r="F317" s="11"/>
      <c r="G317" s="1"/>
      <c r="H317" s="11"/>
      <c r="I317" s="1"/>
      <c r="J317" s="7"/>
      <c r="K317" s="8"/>
      <c r="L317" s="11"/>
      <c r="M317" s="12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  <c r="Z317" s="14"/>
      <c r="AA317" s="14"/>
      <c r="AB317" s="14"/>
      <c r="AC317" s="14"/>
      <c r="AD317" s="14"/>
      <c r="AE317" s="14"/>
      <c r="AF317" s="14"/>
      <c r="AG317" s="14"/>
      <c r="AH317" s="14"/>
    </row>
    <row r="318" spans="1:34" x14ac:dyDescent="0.25">
      <c r="A318" s="14"/>
      <c r="B318" s="5"/>
      <c r="C318" s="12"/>
      <c r="D318" s="11"/>
      <c r="E318" s="224"/>
      <c r="F318" s="11"/>
      <c r="G318" s="1"/>
      <c r="H318" s="11"/>
      <c r="I318" s="1"/>
      <c r="J318" s="7"/>
      <c r="K318" s="8"/>
      <c r="L318" s="11"/>
      <c r="M318" s="12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  <c r="Z318" s="14"/>
      <c r="AA318" s="14"/>
      <c r="AB318" s="14"/>
      <c r="AC318" s="14"/>
      <c r="AD318" s="14"/>
      <c r="AE318" s="14"/>
      <c r="AF318" s="14"/>
      <c r="AG318" s="14"/>
      <c r="AH318" s="14"/>
    </row>
    <row r="319" spans="1:34" x14ac:dyDescent="0.25">
      <c r="A319" s="14"/>
      <c r="B319" s="5"/>
      <c r="C319" s="12"/>
      <c r="D319" s="11"/>
      <c r="E319" s="224"/>
      <c r="F319" s="11"/>
      <c r="G319" s="1"/>
      <c r="H319" s="11"/>
      <c r="I319" s="1"/>
      <c r="J319" s="7"/>
      <c r="K319" s="8"/>
      <c r="L319" s="11"/>
      <c r="M319" s="12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  <c r="Z319" s="14"/>
      <c r="AA319" s="14"/>
      <c r="AB319" s="14"/>
      <c r="AC319" s="14"/>
      <c r="AD319" s="14"/>
      <c r="AE319" s="14"/>
      <c r="AF319" s="14"/>
      <c r="AG319" s="14"/>
      <c r="AH319" s="14"/>
    </row>
    <row r="320" spans="1:34" x14ac:dyDescent="0.25">
      <c r="A320" s="14"/>
      <c r="B320" s="5"/>
      <c r="C320" s="12"/>
      <c r="D320" s="11"/>
      <c r="E320" s="224"/>
      <c r="F320" s="11"/>
      <c r="G320" s="1"/>
      <c r="H320" s="11"/>
      <c r="I320" s="1"/>
      <c r="J320" s="7"/>
      <c r="K320" s="8"/>
      <c r="L320" s="11"/>
      <c r="M320" s="12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  <c r="Z320" s="14"/>
      <c r="AA320" s="14"/>
      <c r="AB320" s="14"/>
      <c r="AC320" s="14"/>
      <c r="AD320" s="14"/>
      <c r="AE320" s="14"/>
      <c r="AF320" s="14"/>
      <c r="AG320" s="14"/>
      <c r="AH320" s="14"/>
    </row>
    <row r="321" spans="1:34" x14ac:dyDescent="0.25">
      <c r="A321" s="14"/>
      <c r="B321" s="5"/>
      <c r="C321" s="12"/>
      <c r="D321" s="11"/>
      <c r="E321" s="224"/>
      <c r="F321" s="11"/>
      <c r="G321" s="1"/>
      <c r="H321" s="11"/>
      <c r="I321" s="1"/>
      <c r="J321" s="7"/>
      <c r="K321" s="8"/>
      <c r="L321" s="11"/>
      <c r="M321" s="12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  <c r="Z321" s="14"/>
      <c r="AA321" s="14"/>
      <c r="AB321" s="14"/>
      <c r="AC321" s="14"/>
      <c r="AD321" s="14"/>
      <c r="AE321" s="14"/>
      <c r="AF321" s="14"/>
      <c r="AG321" s="14"/>
      <c r="AH321" s="14"/>
    </row>
    <row r="322" spans="1:34" x14ac:dyDescent="0.25">
      <c r="A322" s="14"/>
      <c r="B322" s="5"/>
      <c r="C322" s="12"/>
      <c r="D322" s="11"/>
      <c r="E322" s="224"/>
      <c r="F322" s="11"/>
      <c r="G322" s="1"/>
      <c r="H322" s="11"/>
      <c r="I322" s="1"/>
      <c r="J322" s="7"/>
      <c r="K322" s="8"/>
      <c r="L322" s="11"/>
      <c r="M322" s="12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  <c r="Z322" s="14"/>
      <c r="AA322" s="14"/>
      <c r="AB322" s="14"/>
      <c r="AC322" s="14"/>
      <c r="AD322" s="14"/>
      <c r="AE322" s="14"/>
      <c r="AF322" s="14"/>
      <c r="AG322" s="14"/>
      <c r="AH322" s="14"/>
    </row>
    <row r="323" spans="1:34" x14ac:dyDescent="0.25">
      <c r="A323" s="14"/>
      <c r="B323" s="5"/>
      <c r="C323" s="12"/>
      <c r="D323" s="11"/>
      <c r="E323" s="224"/>
      <c r="F323" s="11"/>
      <c r="G323" s="1"/>
      <c r="H323" s="11"/>
      <c r="I323" s="1"/>
      <c r="J323" s="7"/>
      <c r="K323" s="8"/>
      <c r="L323" s="11"/>
      <c r="M323" s="12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  <c r="Z323" s="14"/>
      <c r="AA323" s="14"/>
      <c r="AB323" s="14"/>
      <c r="AC323" s="14"/>
      <c r="AD323" s="14"/>
      <c r="AE323" s="14"/>
      <c r="AF323" s="14"/>
      <c r="AG323" s="14"/>
      <c r="AH323" s="14"/>
    </row>
    <row r="324" spans="1:34" x14ac:dyDescent="0.25">
      <c r="A324" s="14"/>
      <c r="B324" s="5"/>
      <c r="C324" s="12"/>
      <c r="D324" s="11"/>
      <c r="E324" s="224"/>
      <c r="F324" s="11"/>
      <c r="G324" s="1"/>
      <c r="H324" s="11"/>
      <c r="I324" s="1"/>
      <c r="J324" s="7"/>
      <c r="K324" s="8"/>
      <c r="L324" s="11"/>
      <c r="M324" s="12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  <c r="Z324" s="14"/>
      <c r="AA324" s="14"/>
      <c r="AB324" s="14"/>
      <c r="AC324" s="14"/>
      <c r="AD324" s="14"/>
      <c r="AE324" s="14"/>
      <c r="AF324" s="14"/>
      <c r="AG324" s="14"/>
      <c r="AH324" s="14"/>
    </row>
    <row r="325" spans="1:34" x14ac:dyDescent="0.25">
      <c r="A325" s="14"/>
      <c r="B325" s="5"/>
      <c r="C325" s="12"/>
      <c r="D325" s="11"/>
      <c r="E325" s="224"/>
      <c r="F325" s="11"/>
      <c r="G325" s="1"/>
      <c r="H325" s="11"/>
      <c r="I325" s="1"/>
      <c r="J325" s="7"/>
      <c r="K325" s="8"/>
      <c r="L325" s="11"/>
      <c r="M325" s="12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  <c r="Z325" s="14"/>
      <c r="AA325" s="14"/>
      <c r="AB325" s="14"/>
      <c r="AC325" s="14"/>
      <c r="AD325" s="14"/>
      <c r="AE325" s="14"/>
      <c r="AF325" s="14"/>
      <c r="AG325" s="14"/>
      <c r="AH325" s="14"/>
    </row>
    <row r="326" spans="1:34" x14ac:dyDescent="0.25">
      <c r="A326" s="14"/>
      <c r="B326" s="5"/>
      <c r="C326" s="12"/>
      <c r="D326" s="11"/>
      <c r="E326" s="224"/>
      <c r="F326" s="11"/>
      <c r="G326" s="1"/>
      <c r="H326" s="11"/>
      <c r="I326" s="1"/>
      <c r="J326" s="7"/>
      <c r="K326" s="8"/>
      <c r="L326" s="11"/>
      <c r="M326" s="12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  <c r="Z326" s="14"/>
      <c r="AA326" s="14"/>
      <c r="AB326" s="14"/>
      <c r="AC326" s="14"/>
      <c r="AD326" s="14"/>
      <c r="AE326" s="14"/>
      <c r="AF326" s="14"/>
      <c r="AG326" s="14"/>
      <c r="AH326" s="14"/>
    </row>
    <row r="327" spans="1:34" x14ac:dyDescent="0.25">
      <c r="A327" s="14"/>
      <c r="B327" s="5"/>
      <c r="C327" s="12"/>
      <c r="D327" s="11"/>
      <c r="E327" s="224"/>
      <c r="F327" s="11"/>
      <c r="G327" s="1"/>
      <c r="H327" s="11"/>
      <c r="I327" s="1"/>
      <c r="J327" s="7"/>
      <c r="K327" s="8"/>
      <c r="L327" s="11"/>
      <c r="M327" s="12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  <c r="Z327" s="14"/>
      <c r="AA327" s="14"/>
      <c r="AB327" s="14"/>
      <c r="AC327" s="14"/>
      <c r="AD327" s="14"/>
      <c r="AE327" s="14"/>
      <c r="AF327" s="14"/>
      <c r="AG327" s="14"/>
      <c r="AH327" s="14"/>
    </row>
    <row r="328" spans="1:34" x14ac:dyDescent="0.25">
      <c r="A328" s="14"/>
      <c r="B328" s="5"/>
      <c r="C328" s="12"/>
      <c r="D328" s="11"/>
      <c r="E328" s="224"/>
      <c r="F328" s="11"/>
      <c r="G328" s="1"/>
      <c r="H328" s="11"/>
      <c r="I328" s="1"/>
      <c r="J328" s="7"/>
      <c r="K328" s="8"/>
      <c r="L328" s="11"/>
      <c r="M328" s="12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  <c r="Z328" s="14"/>
      <c r="AA328" s="14"/>
      <c r="AB328" s="14"/>
      <c r="AC328" s="14"/>
      <c r="AD328" s="14"/>
      <c r="AE328" s="14"/>
      <c r="AF328" s="14"/>
      <c r="AG328" s="14"/>
      <c r="AH328" s="14"/>
    </row>
    <row r="329" spans="1:34" x14ac:dyDescent="0.25">
      <c r="A329" s="14"/>
      <c r="B329" s="5"/>
      <c r="C329" s="12"/>
      <c r="D329" s="11"/>
      <c r="E329" s="224"/>
      <c r="F329" s="11"/>
      <c r="G329" s="1"/>
      <c r="H329" s="11"/>
      <c r="I329" s="1"/>
      <c r="J329" s="7"/>
      <c r="K329" s="8"/>
      <c r="L329" s="11"/>
      <c r="M329" s="12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  <c r="Z329" s="14"/>
      <c r="AA329" s="14"/>
      <c r="AB329" s="14"/>
      <c r="AC329" s="14"/>
      <c r="AD329" s="14"/>
      <c r="AE329" s="14"/>
      <c r="AF329" s="14"/>
      <c r="AG329" s="14"/>
      <c r="AH329" s="14"/>
    </row>
    <row r="330" spans="1:34" x14ac:dyDescent="0.25">
      <c r="A330" s="14"/>
      <c r="B330" s="5"/>
      <c r="C330" s="12"/>
      <c r="D330" s="11"/>
      <c r="E330" s="224"/>
      <c r="F330" s="11"/>
      <c r="G330" s="1"/>
      <c r="H330" s="11"/>
      <c r="I330" s="1"/>
      <c r="J330" s="7"/>
      <c r="K330" s="8"/>
      <c r="L330" s="11"/>
      <c r="M330" s="12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  <c r="Z330" s="14"/>
      <c r="AA330" s="14"/>
      <c r="AB330" s="14"/>
      <c r="AC330" s="14"/>
      <c r="AD330" s="14"/>
      <c r="AE330" s="14"/>
      <c r="AF330" s="14"/>
      <c r="AG330" s="14"/>
      <c r="AH330" s="14"/>
    </row>
    <row r="331" spans="1:34" x14ac:dyDescent="0.25">
      <c r="A331" s="14"/>
      <c r="B331" s="5"/>
      <c r="C331" s="12"/>
      <c r="D331" s="11"/>
      <c r="E331" s="224"/>
      <c r="F331" s="11"/>
      <c r="G331" s="1"/>
      <c r="H331" s="11"/>
      <c r="I331" s="1"/>
      <c r="J331" s="7"/>
      <c r="K331" s="8"/>
      <c r="L331" s="11"/>
      <c r="M331" s="12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  <c r="Z331" s="14"/>
      <c r="AA331" s="14"/>
      <c r="AB331" s="14"/>
      <c r="AC331" s="14"/>
      <c r="AD331" s="14"/>
      <c r="AE331" s="14"/>
      <c r="AF331" s="14"/>
      <c r="AG331" s="14"/>
      <c r="AH331" s="14"/>
    </row>
    <row r="332" spans="1:34" x14ac:dyDescent="0.25">
      <c r="A332" s="14"/>
      <c r="B332" s="5"/>
      <c r="C332" s="12"/>
      <c r="D332" s="11"/>
      <c r="E332" s="224"/>
      <c r="F332" s="11"/>
      <c r="G332" s="1"/>
      <c r="H332" s="11"/>
      <c r="I332" s="1"/>
      <c r="J332" s="7"/>
      <c r="K332" s="8"/>
      <c r="L332" s="11"/>
      <c r="M332" s="12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  <c r="Z332" s="14"/>
      <c r="AA332" s="14"/>
      <c r="AB332" s="14"/>
      <c r="AC332" s="14"/>
      <c r="AD332" s="14"/>
      <c r="AE332" s="14"/>
      <c r="AF332" s="14"/>
      <c r="AG332" s="14"/>
      <c r="AH332" s="14"/>
    </row>
    <row r="333" spans="1:34" x14ac:dyDescent="0.25">
      <c r="A333" s="14"/>
      <c r="B333" s="5"/>
      <c r="C333" s="12"/>
      <c r="D333" s="11"/>
      <c r="E333" s="224"/>
      <c r="F333" s="11"/>
      <c r="G333" s="1"/>
      <c r="H333" s="11"/>
      <c r="I333" s="1"/>
      <c r="J333" s="7"/>
      <c r="K333" s="8"/>
      <c r="L333" s="11"/>
      <c r="M333" s="12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  <c r="Z333" s="14"/>
      <c r="AA333" s="14"/>
      <c r="AB333" s="14"/>
      <c r="AC333" s="14"/>
      <c r="AD333" s="14"/>
      <c r="AE333" s="14"/>
      <c r="AF333" s="14"/>
      <c r="AG333" s="14"/>
      <c r="AH333" s="14"/>
    </row>
    <row r="334" spans="1:34" x14ac:dyDescent="0.25">
      <c r="A334" s="14"/>
      <c r="B334" s="5"/>
      <c r="C334" s="12"/>
      <c r="D334" s="11"/>
      <c r="E334" s="224"/>
      <c r="F334" s="11"/>
      <c r="G334" s="1"/>
      <c r="H334" s="11"/>
      <c r="I334" s="1"/>
      <c r="J334" s="7"/>
      <c r="K334" s="8"/>
      <c r="L334" s="11"/>
      <c r="M334" s="12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  <c r="Z334" s="14"/>
      <c r="AA334" s="14"/>
      <c r="AB334" s="14"/>
      <c r="AC334" s="14"/>
      <c r="AD334" s="14"/>
      <c r="AE334" s="14"/>
      <c r="AF334" s="14"/>
      <c r="AG334" s="14"/>
      <c r="AH334" s="14"/>
    </row>
    <row r="335" spans="1:34" x14ac:dyDescent="0.25">
      <c r="A335" s="14"/>
      <c r="B335" s="5"/>
      <c r="C335" s="12"/>
      <c r="D335" s="11"/>
      <c r="E335" s="224"/>
      <c r="F335" s="11"/>
      <c r="G335" s="1"/>
      <c r="H335" s="11"/>
      <c r="I335" s="1"/>
      <c r="J335" s="7"/>
      <c r="K335" s="8"/>
      <c r="L335" s="11"/>
      <c r="M335" s="12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  <c r="Z335" s="14"/>
      <c r="AA335" s="14"/>
      <c r="AB335" s="14"/>
      <c r="AC335" s="14"/>
      <c r="AD335" s="14"/>
      <c r="AE335" s="14"/>
      <c r="AF335" s="14"/>
      <c r="AG335" s="14"/>
      <c r="AH335" s="14"/>
    </row>
    <row r="336" spans="1:34" x14ac:dyDescent="0.25">
      <c r="A336" s="14"/>
      <c r="B336" s="5"/>
      <c r="C336" s="12"/>
      <c r="D336" s="11"/>
      <c r="E336" s="224"/>
      <c r="F336" s="11"/>
      <c r="G336" s="1"/>
      <c r="H336" s="11"/>
      <c r="I336" s="1"/>
      <c r="J336" s="7"/>
      <c r="K336" s="8"/>
      <c r="L336" s="11"/>
      <c r="M336" s="12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  <c r="Z336" s="14"/>
      <c r="AA336" s="14"/>
      <c r="AB336" s="14"/>
      <c r="AC336" s="14"/>
      <c r="AD336" s="14"/>
      <c r="AE336" s="14"/>
      <c r="AF336" s="14"/>
      <c r="AG336" s="14"/>
      <c r="AH336" s="14"/>
    </row>
    <row r="337" spans="1:34" x14ac:dyDescent="0.25">
      <c r="A337" s="14"/>
      <c r="B337" s="5"/>
      <c r="C337" s="12"/>
      <c r="D337" s="11"/>
      <c r="E337" s="224"/>
      <c r="F337" s="11"/>
      <c r="G337" s="1"/>
      <c r="H337" s="11"/>
      <c r="I337" s="1"/>
      <c r="J337" s="7"/>
      <c r="K337" s="8"/>
      <c r="L337" s="11"/>
      <c r="M337" s="12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  <c r="Z337" s="14"/>
      <c r="AA337" s="14"/>
      <c r="AB337" s="14"/>
      <c r="AC337" s="14"/>
      <c r="AD337" s="14"/>
      <c r="AE337" s="14"/>
      <c r="AF337" s="14"/>
      <c r="AG337" s="14"/>
      <c r="AH337" s="14"/>
    </row>
    <row r="338" spans="1:34" x14ac:dyDescent="0.25">
      <c r="A338" s="14"/>
      <c r="B338" s="5"/>
      <c r="C338" s="12"/>
      <c r="D338" s="11"/>
      <c r="E338" s="224"/>
      <c r="F338" s="11"/>
      <c r="G338" s="1"/>
      <c r="H338" s="11"/>
      <c r="I338" s="1"/>
      <c r="J338" s="7"/>
      <c r="K338" s="8"/>
      <c r="L338" s="11"/>
      <c r="M338" s="12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  <c r="Z338" s="14"/>
      <c r="AA338" s="14"/>
      <c r="AB338" s="14"/>
      <c r="AC338" s="14"/>
      <c r="AD338" s="14"/>
      <c r="AE338" s="14"/>
      <c r="AF338" s="14"/>
      <c r="AG338" s="14"/>
      <c r="AH338" s="14"/>
    </row>
    <row r="339" spans="1:34" x14ac:dyDescent="0.25">
      <c r="A339" s="14"/>
      <c r="B339" s="5"/>
      <c r="C339" s="12"/>
      <c r="D339" s="11"/>
      <c r="E339" s="224"/>
      <c r="F339" s="11"/>
      <c r="G339" s="1"/>
      <c r="H339" s="11"/>
      <c r="I339" s="1"/>
      <c r="J339" s="7"/>
      <c r="K339" s="8"/>
      <c r="L339" s="11"/>
      <c r="M339" s="12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  <c r="Z339" s="14"/>
      <c r="AA339" s="14"/>
      <c r="AB339" s="14"/>
      <c r="AC339" s="14"/>
      <c r="AD339" s="14"/>
      <c r="AE339" s="14"/>
      <c r="AF339" s="14"/>
      <c r="AG339" s="14"/>
      <c r="AH339" s="14"/>
    </row>
    <row r="340" spans="1:34" x14ac:dyDescent="0.25">
      <c r="A340" s="14"/>
      <c r="B340" s="5"/>
      <c r="C340" s="12"/>
      <c r="D340" s="11"/>
      <c r="E340" s="224"/>
      <c r="F340" s="11"/>
      <c r="G340" s="1"/>
      <c r="H340" s="11"/>
      <c r="I340" s="1"/>
      <c r="J340" s="7"/>
      <c r="K340" s="8"/>
      <c r="L340" s="11"/>
      <c r="M340" s="12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  <c r="Z340" s="14"/>
      <c r="AA340" s="14"/>
      <c r="AB340" s="14"/>
      <c r="AC340" s="14"/>
      <c r="AD340" s="14"/>
      <c r="AE340" s="14"/>
      <c r="AF340" s="14"/>
      <c r="AG340" s="14"/>
      <c r="AH340" s="14"/>
    </row>
    <row r="341" spans="1:34" x14ac:dyDescent="0.25">
      <c r="A341" s="14"/>
      <c r="B341" s="5"/>
      <c r="C341" s="12"/>
      <c r="D341" s="11"/>
      <c r="E341" s="224"/>
      <c r="F341" s="11"/>
      <c r="G341" s="1"/>
      <c r="H341" s="11"/>
      <c r="I341" s="1"/>
      <c r="J341" s="7"/>
      <c r="K341" s="8"/>
      <c r="L341" s="11"/>
      <c r="M341" s="12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  <c r="Z341" s="14"/>
      <c r="AA341" s="14"/>
      <c r="AB341" s="14"/>
      <c r="AC341" s="14"/>
      <c r="AD341" s="14"/>
      <c r="AE341" s="14"/>
      <c r="AF341" s="14"/>
      <c r="AG341" s="14"/>
      <c r="AH341" s="14"/>
    </row>
    <row r="342" spans="1:34" x14ac:dyDescent="0.25">
      <c r="A342" s="14"/>
      <c r="B342" s="5"/>
      <c r="C342" s="12"/>
      <c r="D342" s="11"/>
      <c r="E342" s="224"/>
      <c r="F342" s="11"/>
      <c r="G342" s="1"/>
      <c r="H342" s="11"/>
      <c r="I342" s="1"/>
      <c r="J342" s="7"/>
      <c r="K342" s="8"/>
      <c r="L342" s="11"/>
      <c r="M342" s="12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  <c r="Z342" s="14"/>
      <c r="AA342" s="14"/>
      <c r="AB342" s="14"/>
      <c r="AC342" s="14"/>
      <c r="AD342" s="14"/>
      <c r="AE342" s="14"/>
      <c r="AF342" s="14"/>
      <c r="AG342" s="14"/>
      <c r="AH342" s="14"/>
    </row>
    <row r="343" spans="1:34" x14ac:dyDescent="0.25">
      <c r="A343" s="14"/>
      <c r="B343" s="5"/>
      <c r="C343" s="12"/>
      <c r="D343" s="11"/>
      <c r="E343" s="224"/>
      <c r="F343" s="11"/>
      <c r="G343" s="1"/>
      <c r="H343" s="11"/>
      <c r="I343" s="1"/>
      <c r="J343" s="7"/>
      <c r="K343" s="8"/>
      <c r="L343" s="11"/>
      <c r="M343" s="12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  <c r="Z343" s="14"/>
      <c r="AA343" s="14"/>
      <c r="AB343" s="14"/>
      <c r="AC343" s="14"/>
      <c r="AD343" s="14"/>
      <c r="AE343" s="14"/>
      <c r="AF343" s="14"/>
      <c r="AG343" s="14"/>
      <c r="AH343" s="14"/>
    </row>
    <row r="344" spans="1:34" x14ac:dyDescent="0.25">
      <c r="A344" s="14"/>
      <c r="B344" s="5"/>
      <c r="C344" s="12"/>
      <c r="D344" s="11"/>
      <c r="E344" s="224"/>
      <c r="F344" s="11"/>
      <c r="G344" s="1"/>
      <c r="H344" s="11"/>
      <c r="I344" s="1"/>
      <c r="J344" s="7"/>
      <c r="K344" s="8"/>
      <c r="L344" s="11"/>
      <c r="M344" s="12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  <c r="Z344" s="14"/>
      <c r="AA344" s="14"/>
      <c r="AB344" s="14"/>
      <c r="AC344" s="14"/>
      <c r="AD344" s="14"/>
      <c r="AE344" s="14"/>
      <c r="AF344" s="14"/>
      <c r="AG344" s="14"/>
      <c r="AH344" s="14"/>
    </row>
    <row r="345" spans="1:34" x14ac:dyDescent="0.25">
      <c r="A345" s="14"/>
      <c r="B345" s="5"/>
      <c r="C345" s="12"/>
      <c r="D345" s="11"/>
      <c r="E345" s="224"/>
      <c r="F345" s="11"/>
      <c r="G345" s="1"/>
      <c r="H345" s="11"/>
      <c r="I345" s="1"/>
      <c r="J345" s="7"/>
      <c r="K345" s="8"/>
      <c r="L345" s="11"/>
      <c r="M345" s="12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  <c r="Z345" s="14"/>
      <c r="AA345" s="14"/>
      <c r="AB345" s="14"/>
      <c r="AC345" s="14"/>
      <c r="AD345" s="14"/>
      <c r="AE345" s="14"/>
      <c r="AF345" s="14"/>
      <c r="AG345" s="14"/>
      <c r="AH345" s="14"/>
    </row>
    <row r="346" spans="1:34" x14ac:dyDescent="0.25">
      <c r="A346" s="14"/>
      <c r="B346" s="5"/>
      <c r="C346" s="12"/>
      <c r="D346" s="11"/>
      <c r="E346" s="224"/>
      <c r="F346" s="11"/>
      <c r="G346" s="1"/>
      <c r="H346" s="11"/>
      <c r="I346" s="1"/>
      <c r="J346" s="7"/>
      <c r="K346" s="8"/>
      <c r="L346" s="11"/>
      <c r="M346" s="12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  <c r="Z346" s="14"/>
      <c r="AA346" s="14"/>
      <c r="AB346" s="14"/>
      <c r="AC346" s="14"/>
      <c r="AD346" s="14"/>
      <c r="AE346" s="14"/>
      <c r="AF346" s="14"/>
      <c r="AG346" s="14"/>
      <c r="AH346" s="14"/>
    </row>
    <row r="347" spans="1:34" x14ac:dyDescent="0.25">
      <c r="A347" s="14"/>
      <c r="B347" s="5"/>
      <c r="C347" s="12"/>
      <c r="D347" s="11"/>
      <c r="E347" s="224"/>
      <c r="F347" s="11"/>
      <c r="G347" s="1"/>
      <c r="H347" s="11"/>
      <c r="I347" s="1"/>
      <c r="J347" s="7"/>
      <c r="K347" s="8"/>
      <c r="L347" s="11"/>
      <c r="M347" s="12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14"/>
      <c r="AE347" s="14"/>
      <c r="AF347" s="14"/>
      <c r="AG347" s="14"/>
      <c r="AH347" s="14"/>
    </row>
    <row r="348" spans="1:34" x14ac:dyDescent="0.25">
      <c r="A348" s="14"/>
      <c r="B348" s="5"/>
      <c r="C348" s="12"/>
      <c r="D348" s="11"/>
      <c r="E348" s="224"/>
      <c r="F348" s="11"/>
      <c r="G348" s="1"/>
      <c r="H348" s="11"/>
      <c r="I348" s="1"/>
      <c r="J348" s="7"/>
      <c r="K348" s="8"/>
      <c r="L348" s="11"/>
      <c r="M348" s="12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  <c r="Z348" s="14"/>
      <c r="AA348" s="14"/>
      <c r="AB348" s="14"/>
      <c r="AC348" s="14"/>
      <c r="AD348" s="14"/>
      <c r="AE348" s="14"/>
      <c r="AF348" s="14"/>
      <c r="AG348" s="14"/>
      <c r="AH348" s="14"/>
    </row>
    <row r="349" spans="1:34" x14ac:dyDescent="0.25">
      <c r="A349" s="14"/>
      <c r="B349" s="5"/>
      <c r="C349" s="12"/>
      <c r="D349" s="11"/>
      <c r="E349" s="224"/>
      <c r="F349" s="11"/>
      <c r="G349" s="1"/>
      <c r="H349" s="11"/>
      <c r="I349" s="1"/>
      <c r="J349" s="7"/>
      <c r="K349" s="8"/>
      <c r="L349" s="11"/>
      <c r="M349" s="12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  <c r="Z349" s="14"/>
      <c r="AA349" s="14"/>
      <c r="AB349" s="14"/>
      <c r="AC349" s="14"/>
      <c r="AD349" s="14"/>
      <c r="AE349" s="14"/>
      <c r="AF349" s="14"/>
      <c r="AG349" s="14"/>
      <c r="AH349" s="14"/>
    </row>
    <row r="350" spans="1:34" x14ac:dyDescent="0.25">
      <c r="A350" s="14"/>
      <c r="B350" s="5"/>
      <c r="C350" s="12"/>
      <c r="D350" s="11"/>
      <c r="E350" s="224"/>
      <c r="F350" s="11"/>
      <c r="G350" s="1"/>
      <c r="H350" s="11"/>
      <c r="I350" s="1"/>
      <c r="J350" s="7"/>
      <c r="K350" s="8"/>
      <c r="L350" s="11"/>
      <c r="M350" s="12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  <c r="Z350" s="14"/>
      <c r="AA350" s="14"/>
      <c r="AB350" s="14"/>
      <c r="AC350" s="14"/>
      <c r="AD350" s="14"/>
      <c r="AE350" s="14"/>
      <c r="AF350" s="14"/>
      <c r="AG350" s="14"/>
      <c r="AH350" s="14"/>
    </row>
    <row r="351" spans="1:34" x14ac:dyDescent="0.25">
      <c r="A351" s="14"/>
      <c r="B351" s="5"/>
      <c r="C351" s="12"/>
      <c r="D351" s="11"/>
      <c r="E351" s="224"/>
      <c r="F351" s="11"/>
      <c r="G351" s="1"/>
      <c r="H351" s="11"/>
      <c r="I351" s="1"/>
      <c r="J351" s="7"/>
      <c r="K351" s="8"/>
      <c r="L351" s="11"/>
      <c r="M351" s="12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  <c r="Z351" s="14"/>
      <c r="AA351" s="14"/>
      <c r="AB351" s="14"/>
      <c r="AC351" s="14"/>
      <c r="AD351" s="14"/>
      <c r="AE351" s="14"/>
      <c r="AF351" s="14"/>
      <c r="AG351" s="14"/>
      <c r="AH351" s="14"/>
    </row>
    <row r="352" spans="1:34" x14ac:dyDescent="0.25">
      <c r="A352" s="14"/>
      <c r="B352" s="5"/>
      <c r="C352" s="12"/>
      <c r="D352" s="11"/>
      <c r="E352" s="224"/>
      <c r="F352" s="11"/>
      <c r="G352" s="1"/>
      <c r="H352" s="11"/>
      <c r="I352" s="1"/>
      <c r="J352" s="7"/>
      <c r="K352" s="8"/>
      <c r="L352" s="11"/>
      <c r="M352" s="12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  <c r="Z352" s="14"/>
      <c r="AA352" s="14"/>
      <c r="AB352" s="14"/>
      <c r="AC352" s="14"/>
      <c r="AD352" s="14"/>
      <c r="AE352" s="14"/>
      <c r="AF352" s="14"/>
      <c r="AG352" s="14"/>
      <c r="AH352" s="14"/>
    </row>
    <row r="353" spans="1:34" x14ac:dyDescent="0.25">
      <c r="A353" s="14"/>
      <c r="B353" s="5"/>
      <c r="C353" s="12"/>
      <c r="D353" s="11"/>
      <c r="E353" s="224"/>
      <c r="F353" s="11"/>
      <c r="G353" s="1"/>
      <c r="H353" s="11"/>
      <c r="I353" s="1"/>
      <c r="J353" s="7"/>
      <c r="K353" s="8"/>
      <c r="L353" s="11"/>
      <c r="M353" s="12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  <c r="Z353" s="14"/>
      <c r="AA353" s="14"/>
      <c r="AB353" s="14"/>
      <c r="AC353" s="14"/>
      <c r="AD353" s="14"/>
      <c r="AE353" s="14"/>
      <c r="AF353" s="14"/>
      <c r="AG353" s="14"/>
      <c r="AH353" s="14"/>
    </row>
    <row r="354" spans="1:34" x14ac:dyDescent="0.25">
      <c r="A354" s="14"/>
      <c r="B354" s="5"/>
      <c r="C354" s="12"/>
      <c r="D354" s="11"/>
      <c r="E354" s="224"/>
      <c r="F354" s="11"/>
      <c r="G354" s="1"/>
      <c r="H354" s="11"/>
      <c r="I354" s="1"/>
      <c r="J354" s="7"/>
      <c r="K354" s="8"/>
      <c r="L354" s="11"/>
      <c r="M354" s="12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  <c r="Z354" s="14"/>
      <c r="AA354" s="14"/>
      <c r="AB354" s="14"/>
      <c r="AC354" s="14"/>
      <c r="AD354" s="14"/>
      <c r="AE354" s="14"/>
      <c r="AF354" s="14"/>
      <c r="AG354" s="14"/>
      <c r="AH354" s="14"/>
    </row>
    <row r="355" spans="1:34" x14ac:dyDescent="0.25">
      <c r="A355" s="14"/>
      <c r="B355" s="5"/>
      <c r="C355" s="12"/>
      <c r="D355" s="11"/>
      <c r="E355" s="224"/>
      <c r="F355" s="11"/>
      <c r="G355" s="1"/>
      <c r="H355" s="11"/>
      <c r="I355" s="1"/>
      <c r="J355" s="7"/>
      <c r="K355" s="8"/>
      <c r="L355" s="11"/>
      <c r="M355" s="12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  <c r="Z355" s="14"/>
      <c r="AA355" s="14"/>
      <c r="AB355" s="14"/>
      <c r="AC355" s="14"/>
      <c r="AD355" s="14"/>
      <c r="AE355" s="14"/>
      <c r="AF355" s="14"/>
      <c r="AG355" s="14"/>
      <c r="AH355" s="14"/>
    </row>
    <row r="356" spans="1:34" x14ac:dyDescent="0.25">
      <c r="A356" s="14"/>
      <c r="B356" s="5"/>
      <c r="C356" s="12"/>
      <c r="D356" s="11"/>
      <c r="E356" s="224"/>
      <c r="F356" s="11"/>
      <c r="G356" s="1"/>
      <c r="H356" s="11"/>
      <c r="I356" s="1"/>
      <c r="J356" s="7"/>
      <c r="K356" s="8"/>
      <c r="L356" s="11"/>
      <c r="M356" s="12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  <c r="Z356" s="14"/>
      <c r="AA356" s="14"/>
      <c r="AB356" s="14"/>
      <c r="AC356" s="14"/>
      <c r="AD356" s="14"/>
      <c r="AE356" s="14"/>
      <c r="AF356" s="14"/>
      <c r="AG356" s="14"/>
      <c r="AH356" s="14"/>
    </row>
    <row r="357" spans="1:34" x14ac:dyDescent="0.25">
      <c r="A357" s="14"/>
      <c r="B357" s="5"/>
      <c r="C357" s="12"/>
      <c r="D357" s="11"/>
      <c r="E357" s="224"/>
      <c r="F357" s="11"/>
      <c r="G357" s="1"/>
      <c r="H357" s="11"/>
      <c r="I357" s="1"/>
      <c r="J357" s="7"/>
      <c r="K357" s="8"/>
      <c r="L357" s="11"/>
      <c r="M357" s="12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  <c r="Z357" s="14"/>
      <c r="AA357" s="14"/>
      <c r="AB357" s="14"/>
      <c r="AC357" s="14"/>
      <c r="AD357" s="14"/>
      <c r="AE357" s="14"/>
      <c r="AF357" s="14"/>
      <c r="AG357" s="14"/>
      <c r="AH357" s="14"/>
    </row>
    <row r="358" spans="1:34" x14ac:dyDescent="0.25">
      <c r="A358" s="14"/>
      <c r="B358" s="5"/>
      <c r="C358" s="12"/>
      <c r="D358" s="11"/>
      <c r="E358" s="224"/>
      <c r="F358" s="11"/>
      <c r="G358" s="1"/>
      <c r="H358" s="11"/>
      <c r="I358" s="1"/>
      <c r="J358" s="7"/>
      <c r="K358" s="8"/>
      <c r="L358" s="11"/>
      <c r="M358" s="12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  <c r="Z358" s="14"/>
      <c r="AA358" s="14"/>
      <c r="AB358" s="14"/>
      <c r="AC358" s="14"/>
      <c r="AD358" s="14"/>
      <c r="AE358" s="14"/>
      <c r="AF358" s="14"/>
      <c r="AG358" s="14"/>
      <c r="AH358" s="14"/>
    </row>
    <row r="359" spans="1:34" x14ac:dyDescent="0.25">
      <c r="A359" s="14"/>
      <c r="B359" s="5"/>
      <c r="C359" s="12"/>
      <c r="D359" s="11"/>
      <c r="E359" s="224"/>
      <c r="F359" s="11"/>
      <c r="G359" s="1"/>
      <c r="H359" s="11"/>
      <c r="I359" s="1"/>
      <c r="J359" s="7"/>
      <c r="K359" s="8"/>
      <c r="L359" s="11"/>
      <c r="M359" s="12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  <c r="Z359" s="14"/>
      <c r="AA359" s="14"/>
      <c r="AB359" s="14"/>
      <c r="AC359" s="14"/>
      <c r="AD359" s="14"/>
      <c r="AE359" s="14"/>
      <c r="AF359" s="14"/>
      <c r="AG359" s="14"/>
      <c r="AH359" s="14"/>
    </row>
    <row r="360" spans="1:34" x14ac:dyDescent="0.25">
      <c r="A360" s="14"/>
      <c r="B360" s="5"/>
      <c r="C360" s="12"/>
      <c r="D360" s="11"/>
      <c r="E360" s="224"/>
      <c r="F360" s="11"/>
      <c r="G360" s="1"/>
      <c r="H360" s="11"/>
      <c r="I360" s="1"/>
      <c r="J360" s="7"/>
      <c r="K360" s="8"/>
      <c r="L360" s="11"/>
      <c r="M360" s="12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  <c r="Z360" s="14"/>
      <c r="AA360" s="14"/>
      <c r="AB360" s="14"/>
      <c r="AC360" s="14"/>
      <c r="AD360" s="14"/>
      <c r="AE360" s="14"/>
      <c r="AF360" s="14"/>
      <c r="AG360" s="14"/>
      <c r="AH360" s="14"/>
    </row>
    <row r="361" spans="1:34" x14ac:dyDescent="0.25">
      <c r="A361" s="14"/>
      <c r="B361" s="5"/>
      <c r="C361" s="12"/>
      <c r="D361" s="11"/>
      <c r="E361" s="224"/>
      <c r="F361" s="11"/>
      <c r="G361" s="1"/>
      <c r="H361" s="11"/>
      <c r="I361" s="1"/>
      <c r="J361" s="7"/>
      <c r="K361" s="8"/>
      <c r="L361" s="11"/>
      <c r="M361" s="12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  <c r="Z361" s="14"/>
      <c r="AA361" s="14"/>
      <c r="AB361" s="14"/>
      <c r="AC361" s="14"/>
      <c r="AD361" s="14"/>
      <c r="AE361" s="14"/>
      <c r="AF361" s="14"/>
      <c r="AG361" s="14"/>
      <c r="AH361" s="14"/>
    </row>
    <row r="362" spans="1:34" x14ac:dyDescent="0.25">
      <c r="A362" s="14"/>
      <c r="B362" s="5"/>
      <c r="C362" s="12"/>
      <c r="D362" s="11"/>
      <c r="E362" s="224"/>
      <c r="F362" s="11"/>
      <c r="G362" s="1"/>
      <c r="H362" s="11"/>
      <c r="I362" s="1"/>
      <c r="J362" s="7"/>
      <c r="K362" s="8"/>
      <c r="L362" s="11"/>
      <c r="M362" s="12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  <c r="Z362" s="14"/>
      <c r="AA362" s="14"/>
      <c r="AB362" s="14"/>
      <c r="AC362" s="14"/>
      <c r="AD362" s="14"/>
      <c r="AE362" s="14"/>
      <c r="AF362" s="14"/>
      <c r="AG362" s="14"/>
      <c r="AH362" s="14"/>
    </row>
    <row r="363" spans="1:34" x14ac:dyDescent="0.25">
      <c r="A363" s="14"/>
      <c r="B363" s="5"/>
      <c r="C363" s="12"/>
      <c r="D363" s="11"/>
      <c r="E363" s="224"/>
      <c r="F363" s="11"/>
      <c r="G363" s="1"/>
      <c r="H363" s="11"/>
      <c r="I363" s="1"/>
      <c r="J363" s="7"/>
      <c r="K363" s="8"/>
      <c r="L363" s="11"/>
      <c r="M363" s="12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  <c r="Z363" s="14"/>
      <c r="AA363" s="14"/>
      <c r="AB363" s="14"/>
      <c r="AC363" s="14"/>
      <c r="AD363" s="14"/>
      <c r="AE363" s="14"/>
      <c r="AF363" s="14"/>
      <c r="AG363" s="14"/>
      <c r="AH363" s="14"/>
    </row>
    <row r="364" spans="1:34" x14ac:dyDescent="0.25">
      <c r="A364" s="14"/>
      <c r="B364" s="5"/>
      <c r="C364" s="12"/>
      <c r="D364" s="11"/>
      <c r="E364" s="224"/>
      <c r="F364" s="11"/>
      <c r="G364" s="1"/>
      <c r="H364" s="11"/>
      <c r="I364" s="1"/>
      <c r="J364" s="7"/>
      <c r="K364" s="8"/>
      <c r="L364" s="11"/>
      <c r="M364" s="12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  <c r="Z364" s="14"/>
      <c r="AA364" s="14"/>
      <c r="AB364" s="14"/>
      <c r="AC364" s="14"/>
      <c r="AD364" s="14"/>
      <c r="AE364" s="14"/>
      <c r="AF364" s="14"/>
      <c r="AG364" s="14"/>
      <c r="AH364" s="14"/>
    </row>
    <row r="365" spans="1:34" x14ac:dyDescent="0.25">
      <c r="A365" s="14"/>
      <c r="B365" s="5"/>
      <c r="C365" s="12"/>
      <c r="D365" s="11"/>
      <c r="E365" s="224"/>
      <c r="F365" s="11"/>
      <c r="G365" s="1"/>
      <c r="H365" s="11"/>
      <c r="I365" s="1"/>
      <c r="J365" s="7"/>
      <c r="K365" s="8"/>
      <c r="L365" s="11"/>
      <c r="M365" s="12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  <c r="Z365" s="14"/>
      <c r="AA365" s="14"/>
      <c r="AB365" s="14"/>
      <c r="AC365" s="14"/>
      <c r="AD365" s="14"/>
      <c r="AE365" s="14"/>
      <c r="AF365" s="14"/>
      <c r="AG365" s="14"/>
      <c r="AH365" s="14"/>
    </row>
    <row r="366" spans="1:34" x14ac:dyDescent="0.25">
      <c r="A366" s="14"/>
      <c r="B366" s="5"/>
      <c r="C366" s="12"/>
      <c r="D366" s="11"/>
      <c r="E366" s="224"/>
      <c r="F366" s="11"/>
      <c r="G366" s="1"/>
      <c r="H366" s="11"/>
      <c r="I366" s="1"/>
      <c r="J366" s="7"/>
      <c r="K366" s="8"/>
      <c r="L366" s="11"/>
      <c r="M366" s="12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  <c r="Z366" s="14"/>
      <c r="AA366" s="14"/>
      <c r="AB366" s="14"/>
      <c r="AC366" s="14"/>
      <c r="AD366" s="14"/>
      <c r="AE366" s="14"/>
      <c r="AF366" s="14"/>
      <c r="AG366" s="14"/>
      <c r="AH366" s="14"/>
    </row>
    <row r="367" spans="1:34" x14ac:dyDescent="0.25">
      <c r="A367" s="14"/>
      <c r="B367" s="5"/>
      <c r="C367" s="12"/>
      <c r="D367" s="11"/>
      <c r="E367" s="224"/>
      <c r="F367" s="11"/>
      <c r="G367" s="1"/>
      <c r="H367" s="11"/>
      <c r="I367" s="1"/>
      <c r="J367" s="7"/>
      <c r="K367" s="8"/>
      <c r="L367" s="11"/>
      <c r="M367" s="12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  <c r="Z367" s="14"/>
      <c r="AA367" s="14"/>
      <c r="AB367" s="14"/>
      <c r="AC367" s="14"/>
      <c r="AD367" s="14"/>
      <c r="AE367" s="14"/>
      <c r="AF367" s="14"/>
      <c r="AG367" s="14"/>
      <c r="AH367" s="14"/>
    </row>
    <row r="368" spans="1:34" x14ac:dyDescent="0.25">
      <c r="A368" s="14"/>
      <c r="B368" s="5"/>
      <c r="C368" s="12"/>
      <c r="D368" s="11"/>
      <c r="E368" s="224"/>
      <c r="F368" s="11"/>
      <c r="G368" s="1"/>
      <c r="H368" s="11"/>
      <c r="I368" s="1"/>
      <c r="J368" s="7"/>
      <c r="K368" s="8"/>
      <c r="L368" s="11"/>
      <c r="M368" s="12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  <c r="Z368" s="14"/>
      <c r="AA368" s="14"/>
      <c r="AB368" s="14"/>
      <c r="AC368" s="14"/>
      <c r="AD368" s="14"/>
      <c r="AE368" s="14"/>
      <c r="AF368" s="14"/>
      <c r="AG368" s="14"/>
      <c r="AH368" s="14"/>
    </row>
    <row r="369" spans="1:34" x14ac:dyDescent="0.25">
      <c r="A369" s="14"/>
      <c r="B369" s="5"/>
      <c r="C369" s="12"/>
      <c r="D369" s="11"/>
      <c r="E369" s="224"/>
      <c r="F369" s="11"/>
      <c r="G369" s="1"/>
      <c r="H369" s="11"/>
      <c r="I369" s="1"/>
      <c r="J369" s="7"/>
      <c r="K369" s="8"/>
      <c r="L369" s="11"/>
      <c r="M369" s="12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  <c r="Z369" s="14"/>
      <c r="AA369" s="14"/>
      <c r="AB369" s="14"/>
      <c r="AC369" s="14"/>
      <c r="AD369" s="14"/>
      <c r="AE369" s="14"/>
      <c r="AF369" s="14"/>
      <c r="AG369" s="14"/>
      <c r="AH369" s="14"/>
    </row>
    <row r="370" spans="1:34" x14ac:dyDescent="0.25">
      <c r="A370" s="14"/>
      <c r="B370" s="5"/>
      <c r="C370" s="12"/>
      <c r="D370" s="11"/>
      <c r="E370" s="224"/>
      <c r="F370" s="11"/>
      <c r="G370" s="1"/>
      <c r="H370" s="11"/>
      <c r="I370" s="1"/>
      <c r="J370" s="7"/>
      <c r="K370" s="8"/>
      <c r="L370" s="11"/>
      <c r="M370" s="12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  <c r="Z370" s="14"/>
      <c r="AA370" s="14"/>
      <c r="AB370" s="14"/>
      <c r="AC370" s="14"/>
      <c r="AD370" s="14"/>
      <c r="AE370" s="14"/>
      <c r="AF370" s="14"/>
      <c r="AG370" s="14"/>
      <c r="AH370" s="14"/>
    </row>
    <row r="371" spans="1:34" x14ac:dyDescent="0.25">
      <c r="A371" s="14"/>
      <c r="B371" s="5"/>
      <c r="C371" s="12"/>
      <c r="D371" s="11"/>
      <c r="E371" s="224"/>
      <c r="F371" s="11"/>
      <c r="G371" s="1"/>
      <c r="H371" s="11"/>
      <c r="I371" s="1"/>
      <c r="J371" s="7"/>
      <c r="K371" s="8"/>
      <c r="L371" s="11"/>
      <c r="M371" s="12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  <c r="Z371" s="14"/>
      <c r="AA371" s="14"/>
      <c r="AB371" s="14"/>
      <c r="AC371" s="14"/>
      <c r="AD371" s="14"/>
      <c r="AE371" s="14"/>
      <c r="AF371" s="14"/>
      <c r="AG371" s="14"/>
      <c r="AH371" s="14"/>
    </row>
    <row r="372" spans="1:34" x14ac:dyDescent="0.25">
      <c r="A372" s="14"/>
      <c r="B372" s="5"/>
      <c r="C372" s="12"/>
      <c r="D372" s="11"/>
      <c r="E372" s="224"/>
      <c r="F372" s="11"/>
      <c r="G372" s="1"/>
      <c r="H372" s="11"/>
      <c r="I372" s="1"/>
      <c r="J372" s="7"/>
      <c r="K372" s="8"/>
      <c r="L372" s="11"/>
      <c r="M372" s="12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  <c r="Z372" s="14"/>
      <c r="AA372" s="14"/>
      <c r="AB372" s="14"/>
      <c r="AC372" s="14"/>
      <c r="AD372" s="14"/>
      <c r="AE372" s="14"/>
      <c r="AF372" s="14"/>
      <c r="AG372" s="14"/>
      <c r="AH372" s="14"/>
    </row>
    <row r="373" spans="1:34" x14ac:dyDescent="0.25">
      <c r="A373" s="14"/>
      <c r="B373" s="5"/>
      <c r="C373" s="12"/>
      <c r="D373" s="11"/>
      <c r="E373" s="224"/>
      <c r="F373" s="11"/>
      <c r="G373" s="1"/>
      <c r="H373" s="11"/>
      <c r="I373" s="1"/>
      <c r="J373" s="7"/>
      <c r="K373" s="8"/>
      <c r="L373" s="11"/>
      <c r="M373" s="12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  <c r="Z373" s="14"/>
      <c r="AA373" s="14"/>
      <c r="AB373" s="14"/>
      <c r="AC373" s="14"/>
      <c r="AD373" s="14"/>
      <c r="AE373" s="14"/>
      <c r="AF373" s="14"/>
      <c r="AG373" s="14"/>
      <c r="AH373" s="14"/>
    </row>
    <row r="374" spans="1:34" x14ac:dyDescent="0.25">
      <c r="A374" s="14"/>
      <c r="B374" s="5"/>
      <c r="C374" s="12"/>
      <c r="D374" s="11"/>
      <c r="E374" s="224"/>
      <c r="F374" s="11"/>
      <c r="G374" s="1"/>
      <c r="H374" s="11"/>
      <c r="I374" s="1"/>
      <c r="J374" s="7"/>
      <c r="K374" s="8"/>
      <c r="L374" s="11"/>
      <c r="M374" s="12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  <c r="Z374" s="14"/>
      <c r="AA374" s="14"/>
      <c r="AB374" s="14"/>
      <c r="AC374" s="14"/>
      <c r="AD374" s="14"/>
      <c r="AE374" s="14"/>
      <c r="AF374" s="14"/>
      <c r="AG374" s="14"/>
      <c r="AH374" s="14"/>
    </row>
    <row r="375" spans="1:34" x14ac:dyDescent="0.25">
      <c r="A375" s="14"/>
      <c r="B375" s="5"/>
      <c r="C375" s="12"/>
      <c r="D375" s="11"/>
      <c r="E375" s="224"/>
      <c r="F375" s="11"/>
      <c r="G375" s="1"/>
      <c r="H375" s="11"/>
      <c r="I375" s="1"/>
      <c r="J375" s="7"/>
      <c r="K375" s="8"/>
      <c r="L375" s="11"/>
      <c r="M375" s="12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  <c r="Z375" s="14"/>
      <c r="AA375" s="14"/>
      <c r="AB375" s="14"/>
      <c r="AC375" s="14"/>
      <c r="AD375" s="14"/>
      <c r="AE375" s="14"/>
      <c r="AF375" s="14"/>
      <c r="AG375" s="14"/>
      <c r="AH375" s="14"/>
    </row>
    <row r="376" spans="1:34" x14ac:dyDescent="0.25">
      <c r="A376" s="14"/>
      <c r="B376" s="5"/>
      <c r="C376" s="12"/>
      <c r="D376" s="11"/>
      <c r="E376" s="224"/>
      <c r="F376" s="11"/>
      <c r="G376" s="1"/>
      <c r="H376" s="11"/>
      <c r="I376" s="1"/>
      <c r="J376" s="7"/>
      <c r="K376" s="8"/>
      <c r="L376" s="11"/>
      <c r="M376" s="12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  <c r="Z376" s="14"/>
      <c r="AA376" s="14"/>
      <c r="AB376" s="14"/>
      <c r="AC376" s="14"/>
      <c r="AD376" s="14"/>
      <c r="AE376" s="14"/>
      <c r="AF376" s="14"/>
      <c r="AG376" s="14"/>
      <c r="AH376" s="14"/>
    </row>
    <row r="377" spans="1:34" x14ac:dyDescent="0.25">
      <c r="A377" s="14"/>
      <c r="B377" s="5"/>
      <c r="C377" s="12"/>
      <c r="D377" s="11"/>
      <c r="E377" s="224"/>
      <c r="F377" s="11"/>
      <c r="G377" s="1"/>
      <c r="H377" s="11"/>
      <c r="I377" s="1"/>
      <c r="J377" s="7"/>
      <c r="K377" s="8"/>
      <c r="L377" s="11"/>
      <c r="M377" s="12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  <c r="Z377" s="14"/>
      <c r="AA377" s="14"/>
      <c r="AB377" s="14"/>
      <c r="AC377" s="14"/>
      <c r="AD377" s="14"/>
      <c r="AE377" s="14"/>
      <c r="AF377" s="14"/>
      <c r="AG377" s="14"/>
      <c r="AH377" s="14"/>
    </row>
    <row r="378" spans="1:34" x14ac:dyDescent="0.25">
      <c r="A378" s="14"/>
      <c r="B378" s="5"/>
      <c r="C378" s="12"/>
      <c r="D378" s="11"/>
      <c r="E378" s="224"/>
      <c r="F378" s="11"/>
      <c r="G378" s="1"/>
      <c r="H378" s="11"/>
      <c r="I378" s="1"/>
      <c r="J378" s="7"/>
      <c r="K378" s="8"/>
      <c r="L378" s="11"/>
      <c r="M378" s="12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  <c r="Z378" s="14"/>
      <c r="AA378" s="14"/>
      <c r="AB378" s="14"/>
      <c r="AC378" s="14"/>
      <c r="AD378" s="14"/>
      <c r="AE378" s="14"/>
      <c r="AF378" s="14"/>
      <c r="AG378" s="14"/>
      <c r="AH378" s="14"/>
    </row>
    <row r="379" spans="1:34" x14ac:dyDescent="0.25">
      <c r="A379" s="14"/>
      <c r="B379" s="5"/>
      <c r="C379" s="12"/>
      <c r="D379" s="11"/>
      <c r="E379" s="224"/>
      <c r="F379" s="11"/>
      <c r="G379" s="1"/>
      <c r="H379" s="11"/>
      <c r="I379" s="1"/>
      <c r="J379" s="7"/>
      <c r="K379" s="8"/>
      <c r="L379" s="11"/>
      <c r="M379" s="12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  <c r="Z379" s="14"/>
      <c r="AA379" s="14"/>
      <c r="AB379" s="14"/>
      <c r="AC379" s="14"/>
      <c r="AD379" s="14"/>
      <c r="AE379" s="14"/>
      <c r="AF379" s="14"/>
      <c r="AG379" s="14"/>
      <c r="AH379" s="14"/>
    </row>
    <row r="380" spans="1:34" x14ac:dyDescent="0.25">
      <c r="A380" s="14"/>
      <c r="B380" s="5"/>
      <c r="C380" s="12"/>
      <c r="D380" s="11"/>
      <c r="E380" s="224"/>
      <c r="F380" s="11"/>
      <c r="G380" s="1"/>
      <c r="H380" s="11"/>
      <c r="I380" s="1"/>
      <c r="J380" s="7"/>
      <c r="K380" s="8"/>
      <c r="L380" s="11"/>
      <c r="M380" s="12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  <c r="Z380" s="14"/>
      <c r="AA380" s="14"/>
      <c r="AB380" s="14"/>
      <c r="AC380" s="14"/>
      <c r="AD380" s="14"/>
      <c r="AE380" s="14"/>
      <c r="AF380" s="14"/>
      <c r="AG380" s="14"/>
      <c r="AH380" s="14"/>
    </row>
    <row r="381" spans="1:34" x14ac:dyDescent="0.25">
      <c r="A381" s="14"/>
      <c r="B381" s="5"/>
      <c r="C381" s="12"/>
      <c r="D381" s="11"/>
      <c r="E381" s="224"/>
      <c r="F381" s="11"/>
      <c r="G381" s="1"/>
      <c r="H381" s="11"/>
      <c r="I381" s="1"/>
      <c r="J381" s="7"/>
      <c r="K381" s="8"/>
      <c r="L381" s="11"/>
      <c r="M381" s="12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  <c r="Z381" s="14"/>
      <c r="AA381" s="14"/>
      <c r="AB381" s="14"/>
      <c r="AC381" s="14"/>
      <c r="AD381" s="14"/>
      <c r="AE381" s="14"/>
      <c r="AF381" s="14"/>
      <c r="AG381" s="14"/>
      <c r="AH381" s="14"/>
    </row>
    <row r="382" spans="1:34" x14ac:dyDescent="0.25">
      <c r="A382" s="14"/>
      <c r="B382" s="5"/>
      <c r="C382" s="12"/>
      <c r="D382" s="11"/>
      <c r="E382" s="224"/>
      <c r="F382" s="11"/>
      <c r="G382" s="1"/>
      <c r="H382" s="11"/>
      <c r="I382" s="1"/>
      <c r="J382" s="7"/>
      <c r="K382" s="8"/>
      <c r="L382" s="11"/>
      <c r="M382" s="12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  <c r="Z382" s="14"/>
      <c r="AA382" s="14"/>
      <c r="AB382" s="14"/>
      <c r="AC382" s="14"/>
      <c r="AD382" s="14"/>
      <c r="AE382" s="14"/>
      <c r="AF382" s="14"/>
      <c r="AG382" s="14"/>
      <c r="AH382" s="14"/>
    </row>
    <row r="383" spans="1:34" x14ac:dyDescent="0.25">
      <c r="A383" s="14"/>
      <c r="B383" s="5"/>
      <c r="C383" s="12"/>
      <c r="D383" s="11"/>
      <c r="E383" s="224"/>
      <c r="F383" s="11"/>
      <c r="G383" s="1"/>
      <c r="H383" s="11"/>
      <c r="I383" s="1"/>
      <c r="J383" s="7"/>
      <c r="K383" s="8"/>
      <c r="L383" s="11"/>
      <c r="M383" s="12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  <c r="Z383" s="14"/>
      <c r="AA383" s="14"/>
      <c r="AB383" s="14"/>
      <c r="AC383" s="14"/>
      <c r="AD383" s="14"/>
      <c r="AE383" s="14"/>
      <c r="AF383" s="14"/>
      <c r="AG383" s="14"/>
      <c r="AH383" s="14"/>
    </row>
    <row r="384" spans="1:34" x14ac:dyDescent="0.25">
      <c r="A384" s="14"/>
      <c r="B384" s="5"/>
      <c r="C384" s="12"/>
      <c r="D384" s="11"/>
      <c r="E384" s="224"/>
      <c r="F384" s="11"/>
      <c r="G384" s="1"/>
      <c r="H384" s="11"/>
      <c r="I384" s="1"/>
      <c r="J384" s="7"/>
      <c r="K384" s="8"/>
      <c r="L384" s="11"/>
      <c r="M384" s="12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  <c r="Z384" s="14"/>
      <c r="AA384" s="14"/>
      <c r="AB384" s="14"/>
      <c r="AC384" s="14"/>
      <c r="AD384" s="14"/>
      <c r="AE384" s="14"/>
      <c r="AF384" s="14"/>
      <c r="AG384" s="14"/>
      <c r="AH384" s="14"/>
    </row>
    <row r="385" spans="1:34" x14ac:dyDescent="0.25">
      <c r="A385" s="14"/>
      <c r="B385" s="5"/>
      <c r="C385" s="12"/>
      <c r="D385" s="11"/>
      <c r="E385" s="224"/>
      <c r="F385" s="11"/>
      <c r="G385" s="1"/>
      <c r="H385" s="11"/>
      <c r="I385" s="1"/>
      <c r="J385" s="7"/>
      <c r="K385" s="8"/>
      <c r="L385" s="11"/>
      <c r="M385" s="12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  <c r="Z385" s="14"/>
      <c r="AA385" s="14"/>
      <c r="AB385" s="14"/>
      <c r="AC385" s="14"/>
      <c r="AD385" s="14"/>
      <c r="AE385" s="14"/>
      <c r="AF385" s="14"/>
      <c r="AG385" s="14"/>
      <c r="AH385" s="14"/>
    </row>
    <row r="386" spans="1:34" x14ac:dyDescent="0.25">
      <c r="A386" s="14"/>
      <c r="B386" s="5"/>
      <c r="C386" s="12"/>
      <c r="D386" s="11"/>
      <c r="E386" s="224"/>
      <c r="F386" s="11"/>
      <c r="G386" s="1"/>
      <c r="H386" s="11"/>
      <c r="I386" s="1"/>
      <c r="J386" s="7"/>
      <c r="K386" s="8"/>
      <c r="L386" s="11"/>
      <c r="M386" s="12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  <c r="Z386" s="14"/>
      <c r="AA386" s="14"/>
      <c r="AB386" s="14"/>
      <c r="AC386" s="14"/>
      <c r="AD386" s="14"/>
      <c r="AE386" s="14"/>
      <c r="AF386" s="14"/>
      <c r="AG386" s="14"/>
      <c r="AH386" s="14"/>
    </row>
    <row r="387" spans="1:34" x14ac:dyDescent="0.25">
      <c r="A387" s="14"/>
      <c r="B387" s="5"/>
      <c r="C387" s="12"/>
      <c r="D387" s="11"/>
      <c r="E387" s="224"/>
      <c r="F387" s="11"/>
      <c r="G387" s="1"/>
      <c r="H387" s="11"/>
      <c r="I387" s="1"/>
      <c r="J387" s="7"/>
      <c r="K387" s="8"/>
      <c r="L387" s="11"/>
      <c r="M387" s="12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  <c r="Z387" s="14"/>
      <c r="AA387" s="14"/>
      <c r="AB387" s="14"/>
      <c r="AC387" s="14"/>
      <c r="AD387" s="14"/>
      <c r="AE387" s="14"/>
      <c r="AF387" s="14"/>
      <c r="AG387" s="14"/>
      <c r="AH387" s="14"/>
    </row>
    <row r="388" spans="1:34" x14ac:dyDescent="0.25">
      <c r="A388" s="14"/>
      <c r="B388" s="5"/>
      <c r="C388" s="12"/>
      <c r="D388" s="11"/>
      <c r="E388" s="224"/>
      <c r="F388" s="11"/>
      <c r="G388" s="1"/>
      <c r="H388" s="11"/>
      <c r="I388" s="1"/>
      <c r="J388" s="7"/>
      <c r="K388" s="8"/>
      <c r="L388" s="11"/>
      <c r="M388" s="12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  <c r="Z388" s="14"/>
      <c r="AA388" s="14"/>
      <c r="AB388" s="14"/>
      <c r="AC388" s="14"/>
      <c r="AD388" s="14"/>
      <c r="AE388" s="14"/>
      <c r="AF388" s="14"/>
      <c r="AG388" s="14"/>
      <c r="AH388" s="14"/>
    </row>
    <row r="389" spans="1:34" x14ac:dyDescent="0.25">
      <c r="A389" s="14"/>
      <c r="B389" s="5"/>
      <c r="C389" s="12"/>
      <c r="D389" s="11"/>
      <c r="E389" s="224"/>
      <c r="F389" s="11"/>
      <c r="G389" s="1"/>
      <c r="H389" s="11"/>
      <c r="I389" s="1"/>
      <c r="J389" s="7"/>
      <c r="K389" s="8"/>
      <c r="L389" s="11"/>
      <c r="M389" s="12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  <c r="Z389" s="14"/>
      <c r="AA389" s="14"/>
      <c r="AB389" s="14"/>
      <c r="AC389" s="14"/>
      <c r="AD389" s="14"/>
      <c r="AE389" s="14"/>
      <c r="AF389" s="14"/>
      <c r="AG389" s="14"/>
      <c r="AH389" s="14"/>
    </row>
    <row r="390" spans="1:34" x14ac:dyDescent="0.25">
      <c r="A390" s="14"/>
      <c r="B390" s="5"/>
      <c r="C390" s="12"/>
      <c r="D390" s="11"/>
      <c r="E390" s="224"/>
      <c r="F390" s="11"/>
      <c r="G390" s="1"/>
      <c r="H390" s="11"/>
      <c r="I390" s="1"/>
      <c r="J390" s="7"/>
      <c r="K390" s="8"/>
      <c r="L390" s="11"/>
      <c r="M390" s="12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  <c r="Z390" s="14"/>
      <c r="AA390" s="14"/>
      <c r="AB390" s="14"/>
      <c r="AC390" s="14"/>
      <c r="AD390" s="14"/>
      <c r="AE390" s="14"/>
      <c r="AF390" s="14"/>
      <c r="AG390" s="14"/>
      <c r="AH390" s="14"/>
    </row>
    <row r="391" spans="1:34" x14ac:dyDescent="0.25">
      <c r="A391" s="14"/>
      <c r="B391" s="5"/>
      <c r="C391" s="12"/>
      <c r="D391" s="11"/>
      <c r="E391" s="224"/>
      <c r="F391" s="11"/>
      <c r="G391" s="1"/>
      <c r="H391" s="11"/>
      <c r="I391" s="1"/>
      <c r="J391" s="7"/>
      <c r="K391" s="8"/>
      <c r="L391" s="11"/>
      <c r="M391" s="12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  <c r="Z391" s="14"/>
      <c r="AA391" s="14"/>
      <c r="AB391" s="14"/>
      <c r="AC391" s="14"/>
      <c r="AD391" s="14"/>
      <c r="AE391" s="14"/>
      <c r="AF391" s="14"/>
      <c r="AG391" s="14"/>
      <c r="AH391" s="14"/>
    </row>
    <row r="392" spans="1:34" x14ac:dyDescent="0.25">
      <c r="A392" s="14"/>
      <c r="B392" s="5"/>
      <c r="C392" s="12"/>
      <c r="D392" s="11"/>
      <c r="E392" s="224"/>
      <c r="F392" s="11"/>
      <c r="G392" s="1"/>
      <c r="H392" s="11"/>
      <c r="I392" s="1"/>
      <c r="J392" s="7"/>
      <c r="K392" s="8"/>
      <c r="L392" s="11"/>
      <c r="M392" s="12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  <c r="Z392" s="14"/>
      <c r="AA392" s="14"/>
      <c r="AB392" s="14"/>
      <c r="AC392" s="14"/>
      <c r="AD392" s="14"/>
      <c r="AE392" s="14"/>
      <c r="AF392" s="14"/>
      <c r="AG392" s="14"/>
      <c r="AH392" s="14"/>
    </row>
    <row r="393" spans="1:34" x14ac:dyDescent="0.25">
      <c r="A393" s="14"/>
      <c r="B393" s="5"/>
      <c r="C393" s="12"/>
      <c r="D393" s="11"/>
      <c r="E393" s="224"/>
      <c r="F393" s="11"/>
      <c r="G393" s="1"/>
      <c r="H393" s="11"/>
      <c r="I393" s="1"/>
      <c r="J393" s="7"/>
      <c r="K393" s="8"/>
      <c r="L393" s="11"/>
      <c r="M393" s="12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  <c r="Z393" s="14"/>
      <c r="AA393" s="14"/>
      <c r="AB393" s="14"/>
      <c r="AC393" s="14"/>
      <c r="AD393" s="14"/>
      <c r="AE393" s="14"/>
      <c r="AF393" s="14"/>
      <c r="AG393" s="14"/>
      <c r="AH393" s="14"/>
    </row>
    <row r="394" spans="1:34" x14ac:dyDescent="0.25">
      <c r="A394" s="14"/>
      <c r="B394" s="5"/>
      <c r="C394" s="12"/>
      <c r="D394" s="11"/>
      <c r="E394" s="224"/>
      <c r="F394" s="11"/>
      <c r="G394" s="1"/>
      <c r="H394" s="11"/>
      <c r="I394" s="1"/>
      <c r="J394" s="7"/>
      <c r="K394" s="8"/>
      <c r="L394" s="11"/>
      <c r="M394" s="12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  <c r="Z394" s="14"/>
      <c r="AA394" s="14"/>
      <c r="AB394" s="14"/>
      <c r="AC394" s="14"/>
      <c r="AD394" s="14"/>
      <c r="AE394" s="14"/>
      <c r="AF394" s="14"/>
      <c r="AG394" s="14"/>
      <c r="AH394" s="14"/>
    </row>
    <row r="395" spans="1:34" x14ac:dyDescent="0.25">
      <c r="A395" s="14"/>
      <c r="B395" s="5"/>
      <c r="C395" s="12"/>
      <c r="D395" s="11"/>
      <c r="E395" s="224"/>
      <c r="F395" s="11"/>
      <c r="G395" s="1"/>
      <c r="H395" s="11"/>
      <c r="I395" s="1"/>
      <c r="J395" s="7"/>
      <c r="K395" s="8"/>
      <c r="L395" s="11"/>
      <c r="M395" s="12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  <c r="Z395" s="14"/>
      <c r="AA395" s="14"/>
      <c r="AB395" s="14"/>
      <c r="AC395" s="14"/>
      <c r="AD395" s="14"/>
      <c r="AE395" s="14"/>
      <c r="AF395" s="14"/>
      <c r="AG395" s="14"/>
      <c r="AH395" s="14"/>
    </row>
    <row r="396" spans="1:34" x14ac:dyDescent="0.25">
      <c r="A396" s="14"/>
      <c r="B396" s="5"/>
      <c r="C396" s="12"/>
      <c r="D396" s="11"/>
      <c r="E396" s="224"/>
      <c r="F396" s="11"/>
      <c r="G396" s="1"/>
      <c r="H396" s="11"/>
      <c r="I396" s="1"/>
      <c r="J396" s="7"/>
      <c r="K396" s="8"/>
      <c r="L396" s="11"/>
      <c r="M396" s="12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  <c r="Z396" s="14"/>
      <c r="AA396" s="14"/>
      <c r="AB396" s="14"/>
      <c r="AC396" s="14"/>
      <c r="AD396" s="14"/>
      <c r="AE396" s="14"/>
      <c r="AF396" s="14"/>
      <c r="AG396" s="14"/>
      <c r="AH396" s="14"/>
    </row>
    <row r="397" spans="1:34" x14ac:dyDescent="0.25">
      <c r="A397" s="14"/>
      <c r="B397" s="5"/>
      <c r="C397" s="12"/>
      <c r="D397" s="11"/>
      <c r="E397" s="224"/>
      <c r="F397" s="11"/>
      <c r="G397" s="1"/>
      <c r="H397" s="11"/>
      <c r="I397" s="1"/>
      <c r="J397" s="7"/>
      <c r="K397" s="8"/>
      <c r="L397" s="11"/>
      <c r="M397" s="12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  <c r="Z397" s="14"/>
      <c r="AA397" s="14"/>
      <c r="AB397" s="14"/>
      <c r="AC397" s="14"/>
      <c r="AD397" s="14"/>
      <c r="AE397" s="14"/>
      <c r="AF397" s="14"/>
      <c r="AG397" s="14"/>
      <c r="AH397" s="14"/>
    </row>
    <row r="398" spans="1:34" x14ac:dyDescent="0.25">
      <c r="A398" s="14"/>
      <c r="B398" s="5"/>
      <c r="C398" s="12"/>
      <c r="D398" s="11"/>
      <c r="E398" s="224"/>
      <c r="F398" s="11"/>
      <c r="G398" s="1"/>
      <c r="H398" s="11"/>
      <c r="I398" s="1"/>
      <c r="J398" s="7"/>
      <c r="K398" s="8"/>
      <c r="L398" s="11"/>
      <c r="M398" s="12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  <c r="Z398" s="14"/>
      <c r="AA398" s="14"/>
      <c r="AB398" s="14"/>
      <c r="AC398" s="14"/>
      <c r="AD398" s="14"/>
      <c r="AE398" s="14"/>
      <c r="AF398" s="14"/>
      <c r="AG398" s="14"/>
      <c r="AH398" s="14"/>
    </row>
    <row r="399" spans="1:34" x14ac:dyDescent="0.25">
      <c r="A399" s="14"/>
      <c r="B399" s="5"/>
      <c r="C399" s="12"/>
      <c r="D399" s="11"/>
      <c r="E399" s="224"/>
      <c r="F399" s="11"/>
      <c r="G399" s="1"/>
      <c r="H399" s="11"/>
      <c r="I399" s="1"/>
      <c r="J399" s="7"/>
      <c r="K399" s="8"/>
      <c r="L399" s="11"/>
      <c r="M399" s="12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  <c r="Z399" s="14"/>
      <c r="AA399" s="14"/>
      <c r="AB399" s="14"/>
      <c r="AC399" s="14"/>
      <c r="AD399" s="14"/>
      <c r="AE399" s="14"/>
      <c r="AF399" s="14"/>
      <c r="AG399" s="14"/>
      <c r="AH399" s="14"/>
    </row>
    <row r="400" spans="1:34" x14ac:dyDescent="0.25">
      <c r="A400" s="14"/>
      <c r="B400" s="5"/>
      <c r="C400" s="12"/>
      <c r="D400" s="11"/>
      <c r="E400" s="224"/>
      <c r="F400" s="11"/>
      <c r="G400" s="1"/>
      <c r="H400" s="11"/>
      <c r="I400" s="1"/>
      <c r="J400" s="7"/>
      <c r="K400" s="8"/>
      <c r="L400" s="11"/>
      <c r="M400" s="12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  <c r="Z400" s="14"/>
      <c r="AA400" s="14"/>
      <c r="AB400" s="14"/>
      <c r="AC400" s="14"/>
      <c r="AD400" s="14"/>
      <c r="AE400" s="14"/>
      <c r="AF400" s="14"/>
      <c r="AG400" s="14"/>
      <c r="AH400" s="14"/>
    </row>
    <row r="401" spans="1:34" x14ac:dyDescent="0.25">
      <c r="A401" s="14"/>
      <c r="B401" s="5"/>
      <c r="C401" s="12"/>
      <c r="D401" s="11"/>
      <c r="E401" s="224"/>
      <c r="F401" s="11"/>
      <c r="G401" s="1"/>
      <c r="H401" s="11"/>
      <c r="I401" s="1"/>
      <c r="J401" s="7"/>
      <c r="K401" s="8"/>
      <c r="L401" s="11"/>
      <c r="M401" s="12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  <c r="Z401" s="14"/>
      <c r="AA401" s="14"/>
      <c r="AB401" s="14"/>
      <c r="AC401" s="14"/>
      <c r="AD401" s="14"/>
      <c r="AE401" s="14"/>
      <c r="AF401" s="14"/>
      <c r="AG401" s="14"/>
      <c r="AH401" s="14"/>
    </row>
    <row r="402" spans="1:34" x14ac:dyDescent="0.25">
      <c r="A402" s="14"/>
      <c r="B402" s="5"/>
      <c r="C402" s="12"/>
      <c r="D402" s="11"/>
      <c r="E402" s="224"/>
      <c r="F402" s="11"/>
      <c r="G402" s="1"/>
      <c r="H402" s="11"/>
      <c r="I402" s="1"/>
      <c r="J402" s="7"/>
      <c r="K402" s="8"/>
      <c r="L402" s="11"/>
      <c r="M402" s="12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  <c r="Z402" s="14"/>
      <c r="AA402" s="14"/>
      <c r="AB402" s="14"/>
      <c r="AC402" s="14"/>
      <c r="AD402" s="14"/>
      <c r="AE402" s="14"/>
      <c r="AF402" s="14"/>
      <c r="AG402" s="14"/>
      <c r="AH402" s="14"/>
    </row>
    <row r="403" spans="1:34" x14ac:dyDescent="0.25">
      <c r="A403" s="14"/>
      <c r="B403" s="5"/>
      <c r="C403" s="12"/>
      <c r="D403" s="11"/>
      <c r="E403" s="224"/>
      <c r="F403" s="11"/>
      <c r="G403" s="1"/>
      <c r="H403" s="11"/>
      <c r="I403" s="1"/>
      <c r="J403" s="7"/>
      <c r="K403" s="8"/>
      <c r="L403" s="11"/>
      <c r="M403" s="12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  <c r="Z403" s="14"/>
      <c r="AA403" s="14"/>
      <c r="AB403" s="14"/>
      <c r="AC403" s="14"/>
      <c r="AD403" s="14"/>
      <c r="AE403" s="14"/>
      <c r="AF403" s="14"/>
      <c r="AG403" s="14"/>
      <c r="AH403" s="14"/>
    </row>
    <row r="404" spans="1:34" x14ac:dyDescent="0.25">
      <c r="A404" s="14"/>
      <c r="B404" s="5"/>
      <c r="C404" s="12"/>
      <c r="D404" s="11"/>
      <c r="E404" s="224"/>
      <c r="F404" s="11"/>
      <c r="G404" s="1"/>
      <c r="H404" s="11"/>
      <c r="I404" s="1"/>
      <c r="J404" s="7"/>
      <c r="K404" s="8"/>
      <c r="L404" s="11"/>
      <c r="M404" s="12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  <c r="Z404" s="14"/>
      <c r="AA404" s="14"/>
      <c r="AB404" s="14"/>
      <c r="AC404" s="14"/>
      <c r="AD404" s="14"/>
      <c r="AE404" s="14"/>
      <c r="AF404" s="14"/>
      <c r="AG404" s="14"/>
      <c r="AH404" s="14"/>
    </row>
    <row r="405" spans="1:34" x14ac:dyDescent="0.25">
      <c r="A405" s="14"/>
      <c r="B405" s="5"/>
      <c r="C405" s="12"/>
      <c r="D405" s="11"/>
      <c r="E405" s="224"/>
      <c r="F405" s="11"/>
      <c r="G405" s="1"/>
      <c r="H405" s="11"/>
      <c r="I405" s="1"/>
      <c r="J405" s="7"/>
      <c r="K405" s="8"/>
      <c r="L405" s="11"/>
      <c r="M405" s="12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  <c r="Z405" s="14"/>
      <c r="AA405" s="14"/>
      <c r="AB405" s="14"/>
      <c r="AC405" s="14"/>
      <c r="AD405" s="14"/>
      <c r="AE405" s="14"/>
      <c r="AF405" s="14"/>
      <c r="AG405" s="14"/>
      <c r="AH405" s="14"/>
    </row>
    <row r="406" spans="1:34" x14ac:dyDescent="0.25">
      <c r="A406" s="14"/>
      <c r="B406" s="5"/>
      <c r="C406" s="12"/>
      <c r="D406" s="11"/>
      <c r="E406" s="224"/>
      <c r="F406" s="11"/>
      <c r="G406" s="1"/>
      <c r="H406" s="11"/>
      <c r="I406" s="1"/>
      <c r="J406" s="7"/>
      <c r="K406" s="8"/>
      <c r="L406" s="11"/>
      <c r="M406" s="12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  <c r="Z406" s="14"/>
      <c r="AA406" s="14"/>
      <c r="AB406" s="14"/>
      <c r="AC406" s="14"/>
      <c r="AD406" s="14"/>
      <c r="AE406" s="14"/>
      <c r="AF406" s="14"/>
      <c r="AG406" s="14"/>
      <c r="AH406" s="14"/>
    </row>
    <row r="407" spans="1:34" x14ac:dyDescent="0.25">
      <c r="A407" s="14"/>
      <c r="B407" s="5"/>
      <c r="C407" s="12"/>
      <c r="D407" s="11"/>
      <c r="E407" s="224"/>
      <c r="F407" s="11"/>
      <c r="G407" s="1"/>
      <c r="H407" s="11"/>
      <c r="I407" s="1"/>
      <c r="J407" s="7"/>
      <c r="K407" s="8"/>
      <c r="L407" s="11"/>
      <c r="M407" s="12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  <c r="Z407" s="14"/>
      <c r="AA407" s="14"/>
      <c r="AB407" s="14"/>
      <c r="AC407" s="14"/>
      <c r="AD407" s="14"/>
      <c r="AE407" s="14"/>
      <c r="AF407" s="14"/>
      <c r="AG407" s="14"/>
      <c r="AH407" s="14"/>
    </row>
    <row r="408" spans="1:34" x14ac:dyDescent="0.25">
      <c r="A408" s="14"/>
      <c r="B408" s="5"/>
      <c r="C408" s="12"/>
      <c r="D408" s="11"/>
      <c r="E408" s="224"/>
      <c r="F408" s="11"/>
      <c r="G408" s="1"/>
      <c r="H408" s="11"/>
      <c r="I408" s="1"/>
      <c r="J408" s="7"/>
      <c r="K408" s="8"/>
      <c r="L408" s="11"/>
      <c r="M408" s="12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  <c r="Z408" s="14"/>
      <c r="AA408" s="14"/>
      <c r="AB408" s="14"/>
      <c r="AC408" s="14"/>
      <c r="AD408" s="14"/>
      <c r="AE408" s="14"/>
      <c r="AF408" s="14"/>
      <c r="AG408" s="14"/>
      <c r="AH408" s="14"/>
    </row>
    <row r="409" spans="1:34" x14ac:dyDescent="0.25">
      <c r="A409" s="14"/>
      <c r="B409" s="5"/>
      <c r="C409" s="12"/>
      <c r="D409" s="11"/>
      <c r="E409" s="224"/>
      <c r="F409" s="11"/>
      <c r="G409" s="1"/>
      <c r="H409" s="11"/>
      <c r="I409" s="1"/>
      <c r="J409" s="7"/>
      <c r="K409" s="8"/>
      <c r="L409" s="11"/>
      <c r="M409" s="12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  <c r="Z409" s="14"/>
      <c r="AA409" s="14"/>
      <c r="AB409" s="14"/>
      <c r="AC409" s="14"/>
      <c r="AD409" s="14"/>
      <c r="AE409" s="14"/>
      <c r="AF409" s="14"/>
      <c r="AG409" s="14"/>
      <c r="AH409" s="14"/>
    </row>
    <row r="410" spans="1:34" x14ac:dyDescent="0.25">
      <c r="A410" s="14"/>
      <c r="B410" s="5"/>
      <c r="C410" s="12"/>
      <c r="D410" s="11"/>
      <c r="E410" s="224"/>
      <c r="F410" s="11"/>
      <c r="G410" s="1"/>
      <c r="H410" s="11"/>
      <c r="I410" s="1"/>
      <c r="J410" s="7"/>
      <c r="K410" s="8"/>
      <c r="L410" s="11"/>
      <c r="M410" s="12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  <c r="Z410" s="14"/>
      <c r="AA410" s="14"/>
      <c r="AB410" s="14"/>
      <c r="AC410" s="14"/>
      <c r="AD410" s="14"/>
      <c r="AE410" s="14"/>
      <c r="AF410" s="14"/>
      <c r="AG410" s="14"/>
      <c r="AH410" s="14"/>
    </row>
    <row r="411" spans="1:34" x14ac:dyDescent="0.25">
      <c r="A411" s="14"/>
      <c r="B411" s="5"/>
      <c r="C411" s="12"/>
      <c r="D411" s="11"/>
      <c r="E411" s="224"/>
      <c r="F411" s="11"/>
      <c r="G411" s="1"/>
      <c r="H411" s="11"/>
      <c r="I411" s="1"/>
      <c r="J411" s="7"/>
      <c r="K411" s="8"/>
      <c r="L411" s="11"/>
      <c r="M411" s="12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  <c r="Z411" s="14"/>
      <c r="AA411" s="14"/>
      <c r="AB411" s="14"/>
      <c r="AC411" s="14"/>
      <c r="AD411" s="14"/>
      <c r="AE411" s="14"/>
      <c r="AF411" s="14"/>
      <c r="AG411" s="14"/>
      <c r="AH411" s="14"/>
    </row>
    <row r="412" spans="1:34" x14ac:dyDescent="0.25">
      <c r="A412" s="14"/>
      <c r="B412" s="5"/>
      <c r="C412" s="12"/>
      <c r="D412" s="11"/>
      <c r="E412" s="224"/>
      <c r="F412" s="11"/>
      <c r="G412" s="1"/>
      <c r="H412" s="11"/>
      <c r="I412" s="1"/>
      <c r="J412" s="7"/>
      <c r="K412" s="8"/>
      <c r="L412" s="11"/>
      <c r="M412" s="12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  <c r="Z412" s="14"/>
      <c r="AA412" s="14"/>
      <c r="AB412" s="14"/>
      <c r="AC412" s="14"/>
      <c r="AD412" s="14"/>
      <c r="AE412" s="14"/>
      <c r="AF412" s="14"/>
      <c r="AG412" s="14"/>
      <c r="AH412" s="14"/>
    </row>
    <row r="413" spans="1:34" x14ac:dyDescent="0.25">
      <c r="A413" s="14"/>
      <c r="B413" s="5"/>
      <c r="C413" s="12"/>
      <c r="D413" s="11"/>
      <c r="E413" s="224"/>
      <c r="F413" s="11"/>
      <c r="G413" s="1"/>
      <c r="H413" s="11"/>
      <c r="I413" s="1"/>
      <c r="J413" s="7"/>
      <c r="K413" s="8"/>
      <c r="L413" s="11"/>
      <c r="M413" s="12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  <c r="Z413" s="14"/>
      <c r="AA413" s="14"/>
      <c r="AB413" s="14"/>
      <c r="AC413" s="14"/>
      <c r="AD413" s="14"/>
      <c r="AE413" s="14"/>
      <c r="AF413" s="14"/>
      <c r="AG413" s="14"/>
      <c r="AH413" s="14"/>
    </row>
    <row r="414" spans="1:34" x14ac:dyDescent="0.25">
      <c r="A414" s="14"/>
      <c r="B414" s="5"/>
      <c r="C414" s="12"/>
      <c r="D414" s="11"/>
      <c r="E414" s="224"/>
      <c r="F414" s="11"/>
      <c r="G414" s="1"/>
      <c r="H414" s="11"/>
      <c r="I414" s="1"/>
      <c r="J414" s="7"/>
      <c r="K414" s="8"/>
      <c r="L414" s="11"/>
      <c r="M414" s="12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  <c r="Z414" s="14"/>
      <c r="AA414" s="14"/>
      <c r="AB414" s="14"/>
      <c r="AC414" s="14"/>
      <c r="AD414" s="14"/>
      <c r="AE414" s="14"/>
      <c r="AF414" s="14"/>
      <c r="AG414" s="14"/>
      <c r="AH414" s="14"/>
    </row>
    <row r="415" spans="1:34" x14ac:dyDescent="0.25">
      <c r="A415" s="14"/>
      <c r="B415" s="5"/>
      <c r="C415" s="12"/>
      <c r="D415" s="11"/>
      <c r="E415" s="224"/>
      <c r="F415" s="11"/>
      <c r="G415" s="1"/>
      <c r="H415" s="11"/>
      <c r="I415" s="1"/>
      <c r="J415" s="7"/>
      <c r="K415" s="8"/>
      <c r="L415" s="11"/>
      <c r="M415" s="12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  <c r="Z415" s="14"/>
      <c r="AA415" s="14"/>
      <c r="AB415" s="14"/>
      <c r="AC415" s="14"/>
      <c r="AD415" s="14"/>
      <c r="AE415" s="14"/>
      <c r="AF415" s="14"/>
      <c r="AG415" s="14"/>
      <c r="AH415" s="14"/>
    </row>
    <row r="416" spans="1:34" x14ac:dyDescent="0.25">
      <c r="A416" s="14"/>
      <c r="B416" s="5"/>
      <c r="C416" s="12"/>
      <c r="D416" s="11"/>
      <c r="E416" s="224"/>
      <c r="F416" s="11"/>
      <c r="G416" s="1"/>
      <c r="H416" s="11"/>
      <c r="I416" s="1"/>
      <c r="J416" s="7"/>
      <c r="K416" s="8"/>
      <c r="L416" s="11"/>
      <c r="M416" s="12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  <c r="Z416" s="14"/>
      <c r="AA416" s="14"/>
      <c r="AB416" s="14"/>
      <c r="AC416" s="14"/>
      <c r="AD416" s="14"/>
      <c r="AE416" s="14"/>
      <c r="AF416" s="14"/>
      <c r="AG416" s="14"/>
      <c r="AH416" s="14"/>
    </row>
    <row r="417" spans="1:34" x14ac:dyDescent="0.25">
      <c r="A417" s="14"/>
      <c r="B417" s="5"/>
      <c r="C417" s="12"/>
      <c r="D417" s="11"/>
      <c r="E417" s="224"/>
      <c r="F417" s="11"/>
      <c r="G417" s="1"/>
      <c r="H417" s="11"/>
      <c r="I417" s="1"/>
      <c r="J417" s="7"/>
      <c r="K417" s="8"/>
      <c r="L417" s="11"/>
      <c r="M417" s="12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  <c r="Z417" s="14"/>
      <c r="AA417" s="14"/>
      <c r="AB417" s="14"/>
      <c r="AC417" s="14"/>
      <c r="AD417" s="14"/>
      <c r="AE417" s="14"/>
      <c r="AF417" s="14"/>
      <c r="AG417" s="14"/>
      <c r="AH417" s="14"/>
    </row>
    <row r="418" spans="1:34" x14ac:dyDescent="0.25">
      <c r="A418" s="14"/>
      <c r="B418" s="5"/>
      <c r="C418" s="12"/>
      <c r="D418" s="11"/>
      <c r="E418" s="224"/>
      <c r="F418" s="11"/>
      <c r="G418" s="1"/>
      <c r="H418" s="11"/>
      <c r="I418" s="1"/>
      <c r="J418" s="7"/>
      <c r="K418" s="8"/>
      <c r="L418" s="11"/>
      <c r="M418" s="12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  <c r="Z418" s="14"/>
      <c r="AA418" s="14"/>
      <c r="AB418" s="14"/>
      <c r="AC418" s="14"/>
      <c r="AD418" s="14"/>
      <c r="AE418" s="14"/>
      <c r="AF418" s="14"/>
      <c r="AG418" s="14"/>
      <c r="AH418" s="14"/>
    </row>
    <row r="419" spans="1:34" x14ac:dyDescent="0.25">
      <c r="A419" s="14"/>
      <c r="B419" s="5"/>
      <c r="C419" s="12"/>
      <c r="D419" s="11"/>
      <c r="E419" s="224"/>
      <c r="F419" s="11"/>
      <c r="G419" s="1"/>
      <c r="H419" s="11"/>
      <c r="I419" s="1"/>
      <c r="J419" s="7"/>
      <c r="K419" s="8"/>
      <c r="L419" s="11"/>
      <c r="M419" s="12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  <c r="Z419" s="14"/>
      <c r="AA419" s="14"/>
      <c r="AB419" s="14"/>
      <c r="AC419" s="14"/>
      <c r="AD419" s="14"/>
      <c r="AE419" s="14"/>
      <c r="AF419" s="14"/>
      <c r="AG419" s="14"/>
      <c r="AH419" s="14"/>
    </row>
    <row r="420" spans="1:34" x14ac:dyDescent="0.25">
      <c r="A420" s="14"/>
      <c r="B420" s="5"/>
      <c r="C420" s="12"/>
      <c r="D420" s="11"/>
      <c r="E420" s="224"/>
      <c r="F420" s="11"/>
      <c r="G420" s="1"/>
      <c r="H420" s="11"/>
      <c r="I420" s="1"/>
      <c r="J420" s="7"/>
      <c r="K420" s="8"/>
      <c r="L420" s="11"/>
      <c r="M420" s="12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  <c r="Z420" s="14"/>
      <c r="AA420" s="14"/>
      <c r="AB420" s="14"/>
      <c r="AC420" s="14"/>
      <c r="AD420" s="14"/>
      <c r="AE420" s="14"/>
      <c r="AF420" s="14"/>
      <c r="AG420" s="14"/>
      <c r="AH420" s="14"/>
    </row>
    <row r="421" spans="1:34" x14ac:dyDescent="0.25">
      <c r="A421" s="14"/>
      <c r="B421" s="5"/>
      <c r="C421" s="12"/>
      <c r="D421" s="11"/>
      <c r="E421" s="224"/>
      <c r="F421" s="11"/>
      <c r="G421" s="1"/>
      <c r="H421" s="11"/>
      <c r="I421" s="1"/>
      <c r="J421" s="7"/>
      <c r="K421" s="8"/>
      <c r="L421" s="11"/>
      <c r="M421" s="12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  <c r="Z421" s="14"/>
      <c r="AA421" s="14"/>
      <c r="AB421" s="14"/>
      <c r="AC421" s="14"/>
      <c r="AD421" s="14"/>
      <c r="AE421" s="14"/>
      <c r="AF421" s="14"/>
      <c r="AG421" s="14"/>
      <c r="AH421" s="14"/>
    </row>
    <row r="422" spans="1:34" x14ac:dyDescent="0.25">
      <c r="A422" s="14"/>
      <c r="B422" s="5"/>
      <c r="C422" s="12"/>
      <c r="D422" s="11"/>
      <c r="E422" s="224"/>
      <c r="F422" s="11"/>
      <c r="G422" s="1"/>
      <c r="H422" s="11"/>
      <c r="I422" s="1"/>
      <c r="J422" s="7"/>
      <c r="K422" s="8"/>
      <c r="L422" s="11"/>
      <c r="M422" s="12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  <c r="Z422" s="14"/>
      <c r="AA422" s="14"/>
      <c r="AB422" s="14"/>
      <c r="AC422" s="14"/>
      <c r="AD422" s="14"/>
      <c r="AE422" s="14"/>
      <c r="AF422" s="14"/>
      <c r="AG422" s="14"/>
      <c r="AH422" s="14"/>
    </row>
    <row r="423" spans="1:34" x14ac:dyDescent="0.25">
      <c r="A423" s="14"/>
      <c r="B423" s="5"/>
      <c r="C423" s="12"/>
      <c r="D423" s="11"/>
      <c r="E423" s="224"/>
      <c r="F423" s="11"/>
      <c r="G423" s="1"/>
      <c r="H423" s="11"/>
      <c r="I423" s="1"/>
      <c r="J423" s="7"/>
      <c r="K423" s="8"/>
      <c r="L423" s="11"/>
      <c r="M423" s="12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  <c r="Z423" s="14"/>
      <c r="AA423" s="14"/>
      <c r="AB423" s="14"/>
      <c r="AC423" s="14"/>
      <c r="AD423" s="14"/>
      <c r="AE423" s="14"/>
      <c r="AF423" s="14"/>
      <c r="AG423" s="14"/>
      <c r="AH423" s="14"/>
    </row>
    <row r="424" spans="1:34" x14ac:dyDescent="0.25">
      <c r="A424" s="14"/>
      <c r="B424" s="5"/>
      <c r="C424" s="12"/>
      <c r="D424" s="11"/>
      <c r="E424" s="224"/>
      <c r="F424" s="11"/>
      <c r="G424" s="1"/>
      <c r="H424" s="11"/>
      <c r="I424" s="1"/>
      <c r="J424" s="7"/>
      <c r="K424" s="8"/>
      <c r="L424" s="11"/>
      <c r="M424" s="12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  <c r="Z424" s="14"/>
      <c r="AA424" s="14"/>
      <c r="AB424" s="14"/>
      <c r="AC424" s="14"/>
      <c r="AD424" s="14"/>
      <c r="AE424" s="14"/>
      <c r="AF424" s="14"/>
      <c r="AG424" s="14"/>
      <c r="AH424" s="14"/>
    </row>
    <row r="425" spans="1:34" x14ac:dyDescent="0.25">
      <c r="A425" s="14"/>
      <c r="B425" s="5"/>
      <c r="C425" s="12"/>
      <c r="D425" s="11"/>
      <c r="E425" s="224"/>
      <c r="F425" s="11"/>
      <c r="G425" s="1"/>
      <c r="H425" s="11"/>
      <c r="I425" s="1"/>
      <c r="J425" s="7"/>
      <c r="K425" s="8"/>
      <c r="L425" s="11"/>
      <c r="M425" s="12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  <c r="Z425" s="14"/>
      <c r="AA425" s="14"/>
      <c r="AB425" s="14"/>
      <c r="AC425" s="14"/>
      <c r="AD425" s="14"/>
      <c r="AE425" s="14"/>
      <c r="AF425" s="14"/>
      <c r="AG425" s="14"/>
      <c r="AH425" s="14"/>
    </row>
    <row r="426" spans="1:34" x14ac:dyDescent="0.25">
      <c r="A426" s="14"/>
      <c r="B426" s="5"/>
      <c r="C426" s="12"/>
      <c r="D426" s="11"/>
      <c r="E426" s="224"/>
      <c r="F426" s="11"/>
      <c r="G426" s="1"/>
      <c r="H426" s="11"/>
      <c r="I426" s="1"/>
      <c r="J426" s="7"/>
      <c r="K426" s="8"/>
      <c r="L426" s="11"/>
      <c r="M426" s="12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  <c r="Z426" s="14"/>
      <c r="AA426" s="14"/>
      <c r="AB426" s="14"/>
      <c r="AC426" s="14"/>
      <c r="AD426" s="14"/>
      <c r="AE426" s="14"/>
      <c r="AF426" s="14"/>
      <c r="AG426" s="14"/>
      <c r="AH426" s="14"/>
    </row>
    <row r="427" spans="1:34" x14ac:dyDescent="0.25">
      <c r="A427" s="14"/>
      <c r="B427" s="5"/>
      <c r="C427" s="12"/>
      <c r="D427" s="11"/>
      <c r="E427" s="224"/>
      <c r="F427" s="11"/>
      <c r="G427" s="1"/>
      <c r="H427" s="11"/>
      <c r="I427" s="1"/>
      <c r="J427" s="7"/>
      <c r="K427" s="8"/>
      <c r="L427" s="11"/>
      <c r="M427" s="12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  <c r="Z427" s="14"/>
      <c r="AA427" s="14"/>
      <c r="AB427" s="14"/>
      <c r="AC427" s="14"/>
      <c r="AD427" s="14"/>
      <c r="AE427" s="14"/>
      <c r="AF427" s="14"/>
      <c r="AG427" s="14"/>
      <c r="AH427" s="14"/>
    </row>
    <row r="428" spans="1:34" x14ac:dyDescent="0.25">
      <c r="A428" s="14"/>
      <c r="B428" s="5"/>
      <c r="C428" s="12"/>
      <c r="D428" s="11"/>
      <c r="E428" s="224"/>
      <c r="F428" s="11"/>
      <c r="G428" s="1"/>
      <c r="H428" s="11"/>
      <c r="I428" s="1"/>
      <c r="J428" s="7"/>
      <c r="K428" s="8"/>
      <c r="L428" s="11"/>
      <c r="M428" s="12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  <c r="Z428" s="14"/>
      <c r="AA428" s="14"/>
      <c r="AB428" s="14"/>
      <c r="AC428" s="14"/>
      <c r="AD428" s="14"/>
      <c r="AE428" s="14"/>
      <c r="AF428" s="14"/>
      <c r="AG428" s="14"/>
      <c r="AH428" s="14"/>
    </row>
    <row r="429" spans="1:34" x14ac:dyDescent="0.25">
      <c r="A429" s="14"/>
      <c r="B429" s="5"/>
      <c r="C429" s="12"/>
      <c r="D429" s="11"/>
      <c r="E429" s="224"/>
      <c r="F429" s="11"/>
      <c r="G429" s="1"/>
      <c r="H429" s="11"/>
      <c r="I429" s="1"/>
      <c r="J429" s="7"/>
      <c r="K429" s="8"/>
      <c r="L429" s="11"/>
      <c r="M429" s="12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  <c r="Z429" s="14"/>
      <c r="AA429" s="14"/>
      <c r="AB429" s="14"/>
      <c r="AC429" s="14"/>
      <c r="AD429" s="14"/>
      <c r="AE429" s="14"/>
      <c r="AF429" s="14"/>
      <c r="AG429" s="14"/>
      <c r="AH429" s="14"/>
    </row>
    <row r="430" spans="1:34" x14ac:dyDescent="0.25">
      <c r="A430" s="14"/>
      <c r="B430" s="5"/>
      <c r="C430" s="12"/>
      <c r="D430" s="11"/>
      <c r="E430" s="224"/>
      <c r="F430" s="11"/>
      <c r="G430" s="1"/>
      <c r="H430" s="11"/>
      <c r="I430" s="1"/>
      <c r="J430" s="7"/>
      <c r="K430" s="8"/>
      <c r="L430" s="11"/>
      <c r="M430" s="12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  <c r="Z430" s="14"/>
      <c r="AA430" s="14"/>
      <c r="AB430" s="14"/>
      <c r="AC430" s="14"/>
      <c r="AD430" s="14"/>
      <c r="AE430" s="14"/>
      <c r="AF430" s="14"/>
      <c r="AG430" s="14"/>
      <c r="AH430" s="14"/>
    </row>
    <row r="431" spans="1:34" x14ac:dyDescent="0.25">
      <c r="A431" s="14"/>
      <c r="B431" s="5"/>
      <c r="C431" s="12"/>
      <c r="D431" s="11"/>
      <c r="E431" s="224"/>
      <c r="F431" s="11"/>
      <c r="G431" s="1"/>
      <c r="H431" s="11"/>
      <c r="I431" s="1"/>
      <c r="J431" s="7"/>
      <c r="K431" s="8"/>
      <c r="L431" s="11"/>
      <c r="M431" s="12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  <c r="Z431" s="14"/>
      <c r="AA431" s="14"/>
      <c r="AB431" s="14"/>
      <c r="AC431" s="14"/>
      <c r="AD431" s="14"/>
      <c r="AE431" s="14"/>
      <c r="AF431" s="14"/>
      <c r="AG431" s="14"/>
      <c r="AH431" s="14"/>
    </row>
    <row r="432" spans="1:34" x14ac:dyDescent="0.25">
      <c r="A432" s="14"/>
      <c r="B432" s="5"/>
      <c r="C432" s="12"/>
      <c r="D432" s="11"/>
      <c r="E432" s="224"/>
      <c r="F432" s="11"/>
      <c r="G432" s="1"/>
      <c r="H432" s="11"/>
      <c r="I432" s="1"/>
      <c r="J432" s="7"/>
      <c r="K432" s="8"/>
      <c r="L432" s="11"/>
      <c r="M432" s="12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  <c r="Z432" s="14"/>
      <c r="AA432" s="14"/>
      <c r="AB432" s="14"/>
      <c r="AC432" s="14"/>
      <c r="AD432" s="14"/>
      <c r="AE432" s="14"/>
      <c r="AF432" s="14"/>
      <c r="AG432" s="14"/>
      <c r="AH432" s="14"/>
    </row>
    <row r="433" spans="1:34" x14ac:dyDescent="0.25">
      <c r="A433" s="14"/>
      <c r="B433" s="5"/>
      <c r="C433" s="12"/>
      <c r="D433" s="11"/>
      <c r="E433" s="224"/>
      <c r="F433" s="11"/>
      <c r="G433" s="1"/>
      <c r="H433" s="11"/>
      <c r="I433" s="1"/>
      <c r="J433" s="7"/>
      <c r="K433" s="8"/>
      <c r="L433" s="11"/>
      <c r="M433" s="12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  <c r="Z433" s="14"/>
      <c r="AA433" s="14"/>
      <c r="AB433" s="14"/>
      <c r="AC433" s="14"/>
      <c r="AD433" s="14"/>
      <c r="AE433" s="14"/>
      <c r="AF433" s="14"/>
      <c r="AG433" s="14"/>
      <c r="AH433" s="14"/>
    </row>
    <row r="434" spans="1:34" x14ac:dyDescent="0.25">
      <c r="A434" s="14"/>
      <c r="B434" s="5"/>
      <c r="C434" s="12"/>
      <c r="D434" s="11"/>
      <c r="E434" s="224"/>
      <c r="F434" s="11"/>
      <c r="G434" s="1"/>
      <c r="H434" s="11"/>
      <c r="I434" s="1"/>
      <c r="J434" s="7"/>
      <c r="K434" s="8"/>
      <c r="L434" s="11"/>
      <c r="M434" s="12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  <c r="Z434" s="14"/>
      <c r="AA434" s="14"/>
      <c r="AB434" s="14"/>
      <c r="AC434" s="14"/>
      <c r="AD434" s="14"/>
      <c r="AE434" s="14"/>
      <c r="AF434" s="14"/>
      <c r="AG434" s="14"/>
      <c r="AH434" s="14"/>
    </row>
    <row r="435" spans="1:34" x14ac:dyDescent="0.25">
      <c r="A435" s="14"/>
      <c r="B435" s="5"/>
      <c r="C435" s="12"/>
      <c r="D435" s="11"/>
      <c r="E435" s="224"/>
      <c r="F435" s="11"/>
      <c r="G435" s="1"/>
      <c r="H435" s="11"/>
      <c r="I435" s="1"/>
      <c r="J435" s="7"/>
      <c r="K435" s="8"/>
      <c r="L435" s="11"/>
      <c r="M435" s="12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  <c r="Z435" s="14"/>
      <c r="AA435" s="14"/>
      <c r="AB435" s="14"/>
      <c r="AC435" s="14"/>
      <c r="AD435" s="14"/>
      <c r="AE435" s="14"/>
      <c r="AF435" s="14"/>
      <c r="AG435" s="14"/>
      <c r="AH435" s="14"/>
    </row>
    <row r="436" spans="1:34" x14ac:dyDescent="0.25">
      <c r="A436" s="14"/>
      <c r="B436" s="5"/>
      <c r="C436" s="12"/>
      <c r="D436" s="11"/>
      <c r="E436" s="224"/>
      <c r="F436" s="11"/>
      <c r="G436" s="1"/>
      <c r="H436" s="11"/>
      <c r="I436" s="1"/>
      <c r="J436" s="7"/>
      <c r="K436" s="8"/>
      <c r="L436" s="11"/>
      <c r="M436" s="12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  <c r="Z436" s="14"/>
      <c r="AA436" s="14"/>
      <c r="AB436" s="14"/>
      <c r="AC436" s="14"/>
      <c r="AD436" s="14"/>
      <c r="AE436" s="14"/>
      <c r="AF436" s="14"/>
      <c r="AG436" s="14"/>
      <c r="AH436" s="14"/>
    </row>
    <row r="437" spans="1:34" x14ac:dyDescent="0.25">
      <c r="A437" s="14"/>
      <c r="B437" s="5"/>
      <c r="C437" s="12"/>
      <c r="D437" s="11"/>
      <c r="E437" s="224"/>
      <c r="F437" s="11"/>
      <c r="G437" s="1"/>
      <c r="H437" s="11"/>
      <c r="I437" s="1"/>
      <c r="J437" s="7"/>
      <c r="K437" s="8"/>
      <c r="L437" s="11"/>
      <c r="M437" s="12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  <c r="Z437" s="14"/>
      <c r="AA437" s="14"/>
      <c r="AB437" s="14"/>
      <c r="AC437" s="14"/>
      <c r="AD437" s="14"/>
      <c r="AE437" s="14"/>
      <c r="AF437" s="14"/>
      <c r="AG437" s="14"/>
      <c r="AH437" s="14"/>
    </row>
    <row r="438" spans="1:34" x14ac:dyDescent="0.25">
      <c r="A438" s="14"/>
      <c r="B438" s="5"/>
      <c r="C438" s="12"/>
      <c r="D438" s="11"/>
      <c r="E438" s="224"/>
      <c r="F438" s="11"/>
      <c r="G438" s="1"/>
      <c r="H438" s="11"/>
      <c r="I438" s="1"/>
      <c r="J438" s="7"/>
      <c r="K438" s="8"/>
      <c r="L438" s="11"/>
      <c r="M438" s="12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  <c r="Z438" s="14"/>
      <c r="AA438" s="14"/>
      <c r="AB438" s="14"/>
      <c r="AC438" s="14"/>
      <c r="AD438" s="14"/>
      <c r="AE438" s="14"/>
      <c r="AF438" s="14"/>
      <c r="AG438" s="14"/>
      <c r="AH438" s="14"/>
    </row>
    <row r="439" spans="1:34" x14ac:dyDescent="0.25">
      <c r="A439" s="14"/>
      <c r="B439" s="5"/>
      <c r="C439" s="12"/>
      <c r="D439" s="11"/>
      <c r="E439" s="224"/>
      <c r="F439" s="11"/>
      <c r="G439" s="1"/>
      <c r="H439" s="11"/>
      <c r="I439" s="1"/>
      <c r="J439" s="7"/>
      <c r="K439" s="8"/>
      <c r="L439" s="11"/>
      <c r="M439" s="12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  <c r="Z439" s="14"/>
      <c r="AA439" s="14"/>
      <c r="AB439" s="14"/>
      <c r="AC439" s="14"/>
      <c r="AD439" s="14"/>
      <c r="AE439" s="14"/>
      <c r="AF439" s="14"/>
      <c r="AG439" s="14"/>
      <c r="AH439" s="14"/>
    </row>
    <row r="440" spans="1:34" x14ac:dyDescent="0.25">
      <c r="A440" s="14"/>
      <c r="B440" s="5"/>
      <c r="C440" s="12"/>
      <c r="D440" s="11"/>
      <c r="E440" s="224"/>
      <c r="F440" s="11"/>
      <c r="G440" s="1"/>
      <c r="H440" s="11"/>
      <c r="I440" s="1"/>
      <c r="J440" s="7"/>
      <c r="K440" s="8"/>
      <c r="L440" s="11"/>
      <c r="M440" s="12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  <c r="Z440" s="14"/>
      <c r="AA440" s="14"/>
      <c r="AB440" s="14"/>
      <c r="AC440" s="14"/>
      <c r="AD440" s="14"/>
      <c r="AE440" s="14"/>
      <c r="AF440" s="14"/>
      <c r="AG440" s="14"/>
      <c r="AH440" s="14"/>
    </row>
    <row r="441" spans="1:34" x14ac:dyDescent="0.25">
      <c r="A441" s="14"/>
      <c r="B441" s="5"/>
      <c r="C441" s="12"/>
      <c r="D441" s="11"/>
      <c r="E441" s="224"/>
      <c r="F441" s="11"/>
      <c r="G441" s="1"/>
      <c r="H441" s="11"/>
      <c r="I441" s="1"/>
      <c r="J441" s="7"/>
      <c r="K441" s="8"/>
      <c r="L441" s="11"/>
      <c r="M441" s="12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  <c r="Z441" s="14"/>
      <c r="AA441" s="14"/>
      <c r="AB441" s="14"/>
      <c r="AC441" s="14"/>
      <c r="AD441" s="14"/>
      <c r="AE441" s="14"/>
      <c r="AF441" s="14"/>
      <c r="AG441" s="14"/>
      <c r="AH441" s="14"/>
    </row>
    <row r="442" spans="1:34" x14ac:dyDescent="0.25">
      <c r="A442" s="14"/>
      <c r="B442" s="5"/>
      <c r="C442" s="12"/>
      <c r="D442" s="11"/>
      <c r="E442" s="224"/>
      <c r="F442" s="11"/>
      <c r="G442" s="1"/>
      <c r="H442" s="11"/>
      <c r="I442" s="1"/>
      <c r="J442" s="7"/>
      <c r="K442" s="8"/>
      <c r="L442" s="11"/>
      <c r="M442" s="12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  <c r="Z442" s="14"/>
      <c r="AA442" s="14"/>
      <c r="AB442" s="14"/>
      <c r="AC442" s="14"/>
      <c r="AD442" s="14"/>
      <c r="AE442" s="14"/>
      <c r="AF442" s="14"/>
      <c r="AG442" s="14"/>
      <c r="AH442" s="14"/>
    </row>
    <row r="443" spans="1:34" x14ac:dyDescent="0.25">
      <c r="A443" s="14"/>
      <c r="B443" s="5"/>
      <c r="C443" s="12"/>
      <c r="D443" s="11"/>
      <c r="E443" s="224"/>
      <c r="F443" s="11"/>
      <c r="G443" s="1"/>
      <c r="H443" s="11"/>
      <c r="I443" s="1"/>
      <c r="J443" s="7"/>
      <c r="K443" s="8"/>
      <c r="L443" s="11"/>
      <c r="M443" s="12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  <c r="Z443" s="14"/>
      <c r="AA443" s="14"/>
      <c r="AB443" s="14"/>
      <c r="AC443" s="14"/>
      <c r="AD443" s="14"/>
      <c r="AE443" s="14"/>
      <c r="AF443" s="14"/>
      <c r="AG443" s="14"/>
      <c r="AH443" s="14"/>
    </row>
    <row r="444" spans="1:34" x14ac:dyDescent="0.25">
      <c r="A444" s="14"/>
      <c r="B444" s="5"/>
      <c r="C444" s="12"/>
      <c r="D444" s="11"/>
      <c r="E444" s="224"/>
      <c r="F444" s="11"/>
      <c r="G444" s="1"/>
      <c r="H444" s="11"/>
      <c r="I444" s="1"/>
      <c r="J444" s="7"/>
      <c r="K444" s="8"/>
      <c r="L444" s="11"/>
      <c r="M444" s="12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  <c r="Z444" s="14"/>
      <c r="AA444" s="14"/>
      <c r="AB444" s="14"/>
      <c r="AC444" s="14"/>
      <c r="AD444" s="14"/>
      <c r="AE444" s="14"/>
      <c r="AF444" s="14"/>
      <c r="AG444" s="14"/>
      <c r="AH444" s="14"/>
    </row>
    <row r="445" spans="1:34" x14ac:dyDescent="0.25">
      <c r="A445" s="14"/>
      <c r="B445" s="5"/>
      <c r="C445" s="12"/>
      <c r="D445" s="11"/>
      <c r="E445" s="224"/>
      <c r="F445" s="11"/>
      <c r="G445" s="1"/>
      <c r="H445" s="11"/>
      <c r="I445" s="1"/>
      <c r="J445" s="7"/>
      <c r="K445" s="8"/>
      <c r="L445" s="11"/>
      <c r="M445" s="12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  <c r="Z445" s="14"/>
      <c r="AA445" s="14"/>
      <c r="AB445" s="14"/>
      <c r="AC445" s="14"/>
      <c r="AD445" s="14"/>
      <c r="AE445" s="14"/>
      <c r="AF445" s="14"/>
      <c r="AG445" s="14"/>
      <c r="AH445" s="14"/>
    </row>
    <row r="446" spans="1:34" x14ac:dyDescent="0.25">
      <c r="A446" s="14"/>
      <c r="B446" s="5"/>
      <c r="C446" s="12"/>
      <c r="D446" s="11"/>
      <c r="E446" s="224"/>
      <c r="F446" s="11"/>
      <c r="G446" s="1"/>
      <c r="H446" s="11"/>
      <c r="I446" s="1"/>
      <c r="J446" s="7"/>
      <c r="K446" s="8"/>
      <c r="L446" s="11"/>
      <c r="M446" s="12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  <c r="Z446" s="14"/>
      <c r="AA446" s="14"/>
      <c r="AB446" s="14"/>
      <c r="AC446" s="14"/>
      <c r="AD446" s="14"/>
      <c r="AE446" s="14"/>
      <c r="AF446" s="14"/>
      <c r="AG446" s="14"/>
      <c r="AH446" s="14"/>
    </row>
    <row r="447" spans="1:34" x14ac:dyDescent="0.25">
      <c r="A447" s="14"/>
      <c r="B447" s="5"/>
      <c r="C447" s="12"/>
      <c r="D447" s="11"/>
      <c r="E447" s="224"/>
      <c r="F447" s="11"/>
      <c r="G447" s="1"/>
      <c r="H447" s="11"/>
      <c r="I447" s="1"/>
      <c r="J447" s="7"/>
      <c r="K447" s="8"/>
      <c r="L447" s="11"/>
      <c r="M447" s="12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  <c r="Z447" s="14"/>
      <c r="AA447" s="14"/>
      <c r="AB447" s="14"/>
      <c r="AC447" s="14"/>
      <c r="AD447" s="14"/>
      <c r="AE447" s="14"/>
      <c r="AF447" s="14"/>
      <c r="AG447" s="14"/>
      <c r="AH447" s="14"/>
    </row>
    <row r="448" spans="1:34" x14ac:dyDescent="0.25">
      <c r="A448" s="14"/>
      <c r="B448" s="5"/>
      <c r="C448" s="12"/>
      <c r="D448" s="11"/>
      <c r="E448" s="224"/>
      <c r="F448" s="11"/>
      <c r="G448" s="1"/>
      <c r="H448" s="11"/>
      <c r="I448" s="1"/>
      <c r="J448" s="7"/>
      <c r="K448" s="8"/>
      <c r="L448" s="11"/>
      <c r="M448" s="12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  <c r="Z448" s="14"/>
      <c r="AA448" s="14"/>
      <c r="AB448" s="14"/>
      <c r="AC448" s="14"/>
      <c r="AD448" s="14"/>
      <c r="AE448" s="14"/>
      <c r="AF448" s="14"/>
      <c r="AG448" s="14"/>
      <c r="AH448" s="14"/>
    </row>
    <row r="449" spans="1:34" x14ac:dyDescent="0.25">
      <c r="A449" s="14"/>
      <c r="B449" s="5"/>
      <c r="C449" s="12"/>
      <c r="D449" s="11"/>
      <c r="E449" s="224"/>
      <c r="F449" s="11"/>
      <c r="G449" s="1"/>
      <c r="H449" s="11"/>
      <c r="I449" s="1"/>
      <c r="J449" s="7"/>
      <c r="K449" s="8"/>
      <c r="L449" s="11"/>
      <c r="M449" s="12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  <c r="Z449" s="14"/>
      <c r="AA449" s="14"/>
      <c r="AB449" s="14"/>
      <c r="AC449" s="14"/>
      <c r="AD449" s="14"/>
      <c r="AE449" s="14"/>
      <c r="AF449" s="14"/>
      <c r="AG449" s="14"/>
      <c r="AH449" s="14"/>
    </row>
    <row r="450" spans="1:34" x14ac:dyDescent="0.25">
      <c r="A450" s="14"/>
      <c r="B450" s="5"/>
      <c r="C450" s="12"/>
      <c r="D450" s="11"/>
      <c r="E450" s="224"/>
      <c r="F450" s="11"/>
      <c r="G450" s="1"/>
      <c r="H450" s="11"/>
      <c r="I450" s="1"/>
      <c r="J450" s="7"/>
      <c r="K450" s="8"/>
      <c r="L450" s="11"/>
      <c r="M450" s="12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  <c r="Z450" s="14"/>
      <c r="AA450" s="14"/>
      <c r="AB450" s="14"/>
      <c r="AC450" s="14"/>
      <c r="AD450" s="14"/>
      <c r="AE450" s="14"/>
      <c r="AF450" s="14"/>
      <c r="AG450" s="14"/>
      <c r="AH450" s="14"/>
    </row>
    <row r="451" spans="1:34" x14ac:dyDescent="0.25">
      <c r="A451" s="14"/>
      <c r="B451" s="5"/>
      <c r="C451" s="12"/>
      <c r="D451" s="11"/>
      <c r="E451" s="224"/>
      <c r="F451" s="11"/>
      <c r="G451" s="1"/>
      <c r="H451" s="11"/>
      <c r="I451" s="1"/>
      <c r="J451" s="7"/>
      <c r="K451" s="8"/>
      <c r="L451" s="11"/>
      <c r="M451" s="12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  <c r="Z451" s="14"/>
      <c r="AA451" s="14"/>
      <c r="AB451" s="14"/>
      <c r="AC451" s="14"/>
      <c r="AD451" s="14"/>
      <c r="AE451" s="14"/>
      <c r="AF451" s="14"/>
      <c r="AG451" s="14"/>
      <c r="AH451" s="14"/>
    </row>
    <row r="452" spans="1:34" x14ac:dyDescent="0.25">
      <c r="A452" s="14"/>
      <c r="B452" s="5"/>
      <c r="C452" s="12"/>
      <c r="D452" s="11"/>
      <c r="E452" s="224"/>
      <c r="F452" s="11"/>
      <c r="G452" s="1"/>
      <c r="H452" s="11"/>
      <c r="I452" s="1"/>
      <c r="J452" s="7"/>
      <c r="K452" s="8"/>
      <c r="L452" s="11"/>
      <c r="M452" s="12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  <c r="Z452" s="14"/>
      <c r="AA452" s="14"/>
      <c r="AB452" s="14"/>
      <c r="AC452" s="14"/>
      <c r="AD452" s="14"/>
      <c r="AE452" s="14"/>
      <c r="AF452" s="14"/>
      <c r="AG452" s="14"/>
      <c r="AH452" s="14"/>
    </row>
    <row r="453" spans="1:34" x14ac:dyDescent="0.25">
      <c r="A453" s="14"/>
      <c r="B453" s="5"/>
      <c r="C453" s="12"/>
      <c r="D453" s="11"/>
      <c r="E453" s="224"/>
      <c r="F453" s="11"/>
      <c r="G453" s="1"/>
      <c r="H453" s="11"/>
      <c r="I453" s="1"/>
      <c r="J453" s="7"/>
      <c r="K453" s="8"/>
      <c r="L453" s="11"/>
      <c r="M453" s="12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  <c r="Z453" s="14"/>
      <c r="AA453" s="14"/>
      <c r="AB453" s="14"/>
      <c r="AC453" s="14"/>
      <c r="AD453" s="14"/>
      <c r="AE453" s="14"/>
      <c r="AF453" s="14"/>
      <c r="AG453" s="14"/>
      <c r="AH453" s="14"/>
    </row>
    <row r="454" spans="1:34" x14ac:dyDescent="0.25">
      <c r="A454" s="14"/>
      <c r="B454" s="5"/>
      <c r="C454" s="12"/>
      <c r="D454" s="11"/>
      <c r="E454" s="224"/>
      <c r="F454" s="11"/>
      <c r="G454" s="1"/>
      <c r="H454" s="11"/>
      <c r="I454" s="1"/>
      <c r="J454" s="7"/>
      <c r="K454" s="8"/>
      <c r="L454" s="11"/>
      <c r="M454" s="12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  <c r="Z454" s="14"/>
      <c r="AA454" s="14"/>
      <c r="AB454" s="14"/>
      <c r="AC454" s="14"/>
      <c r="AD454" s="14"/>
      <c r="AE454" s="14"/>
      <c r="AF454" s="14"/>
      <c r="AG454" s="14"/>
      <c r="AH454" s="14"/>
    </row>
    <row r="455" spans="1:34" x14ac:dyDescent="0.25">
      <c r="A455" s="14"/>
      <c r="B455" s="5"/>
      <c r="C455" s="12"/>
      <c r="D455" s="11"/>
      <c r="E455" s="224"/>
      <c r="F455" s="11"/>
      <c r="G455" s="1"/>
      <c r="H455" s="11"/>
      <c r="I455" s="1"/>
      <c r="J455" s="7"/>
      <c r="K455" s="8"/>
      <c r="L455" s="11"/>
      <c r="M455" s="12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  <c r="Z455" s="14"/>
      <c r="AA455" s="14"/>
      <c r="AB455" s="14"/>
      <c r="AC455" s="14"/>
      <c r="AD455" s="14"/>
      <c r="AE455" s="14"/>
      <c r="AF455" s="14"/>
      <c r="AG455" s="14"/>
      <c r="AH455" s="14"/>
    </row>
    <row r="456" spans="1:34" x14ac:dyDescent="0.25">
      <c r="A456" s="14"/>
      <c r="B456" s="5"/>
      <c r="C456" s="12"/>
      <c r="D456" s="11"/>
      <c r="E456" s="224"/>
      <c r="F456" s="11"/>
      <c r="G456" s="1"/>
      <c r="H456" s="11"/>
      <c r="I456" s="1"/>
      <c r="J456" s="7"/>
      <c r="K456" s="8"/>
      <c r="L456" s="11"/>
      <c r="M456" s="12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  <c r="Z456" s="14"/>
      <c r="AA456" s="14"/>
      <c r="AB456" s="14"/>
      <c r="AC456" s="14"/>
      <c r="AD456" s="14"/>
      <c r="AE456" s="14"/>
      <c r="AF456" s="14"/>
      <c r="AG456" s="14"/>
      <c r="AH456" s="14"/>
    </row>
    <row r="457" spans="1:34" x14ac:dyDescent="0.25">
      <c r="A457" s="14"/>
      <c r="B457" s="5"/>
      <c r="C457" s="12"/>
      <c r="D457" s="11"/>
      <c r="E457" s="224"/>
      <c r="F457" s="11"/>
      <c r="G457" s="1"/>
      <c r="H457" s="11"/>
      <c r="I457" s="1"/>
      <c r="J457" s="7"/>
      <c r="K457" s="8"/>
      <c r="L457" s="11"/>
      <c r="M457" s="12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  <c r="Z457" s="14"/>
      <c r="AA457" s="14"/>
      <c r="AB457" s="14"/>
      <c r="AC457" s="14"/>
      <c r="AD457" s="14"/>
      <c r="AE457" s="14"/>
      <c r="AF457" s="14"/>
      <c r="AG457" s="14"/>
      <c r="AH457" s="14"/>
    </row>
    <row r="458" spans="1:34" x14ac:dyDescent="0.25">
      <c r="A458" s="14"/>
      <c r="B458" s="5"/>
      <c r="C458" s="12"/>
      <c r="D458" s="11"/>
      <c r="E458" s="224"/>
      <c r="F458" s="11"/>
      <c r="G458" s="1"/>
      <c r="H458" s="11"/>
      <c r="I458" s="1"/>
      <c r="J458" s="7"/>
      <c r="K458" s="8"/>
      <c r="L458" s="11"/>
      <c r="M458" s="12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  <c r="Z458" s="14"/>
      <c r="AA458" s="14"/>
      <c r="AB458" s="14"/>
      <c r="AC458" s="14"/>
      <c r="AD458" s="14"/>
      <c r="AE458" s="14"/>
      <c r="AF458" s="14"/>
      <c r="AG458" s="14"/>
      <c r="AH458" s="14"/>
    </row>
    <row r="459" spans="1:34" x14ac:dyDescent="0.25">
      <c r="A459" s="14"/>
      <c r="B459" s="5"/>
      <c r="C459" s="12"/>
      <c r="D459" s="11"/>
      <c r="E459" s="224"/>
      <c r="F459" s="11"/>
      <c r="G459" s="1"/>
      <c r="H459" s="11"/>
      <c r="I459" s="1"/>
      <c r="J459" s="7"/>
      <c r="K459" s="8"/>
      <c r="L459" s="11"/>
      <c r="M459" s="12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  <c r="Z459" s="14"/>
      <c r="AA459" s="14"/>
      <c r="AB459" s="14"/>
      <c r="AC459" s="14"/>
      <c r="AD459" s="14"/>
      <c r="AE459" s="14"/>
      <c r="AF459" s="14"/>
      <c r="AG459" s="14"/>
      <c r="AH459" s="14"/>
    </row>
    <row r="460" spans="1:34" x14ac:dyDescent="0.25">
      <c r="A460" s="14"/>
      <c r="B460" s="5"/>
      <c r="C460" s="12"/>
      <c r="D460" s="11"/>
      <c r="E460" s="224"/>
      <c r="F460" s="11"/>
      <c r="G460" s="1"/>
      <c r="H460" s="11"/>
      <c r="I460" s="1"/>
      <c r="J460" s="7"/>
      <c r="K460" s="8"/>
      <c r="L460" s="11"/>
      <c r="M460" s="12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  <c r="Z460" s="14"/>
      <c r="AA460" s="14"/>
      <c r="AB460" s="14"/>
      <c r="AC460" s="14"/>
      <c r="AD460" s="14"/>
      <c r="AE460" s="14"/>
      <c r="AF460" s="14"/>
      <c r="AG460" s="14"/>
      <c r="AH460" s="14"/>
    </row>
    <row r="461" spans="1:34" x14ac:dyDescent="0.25">
      <c r="A461" s="14"/>
      <c r="B461" s="5"/>
      <c r="C461" s="12"/>
      <c r="D461" s="11"/>
      <c r="E461" s="224"/>
      <c r="F461" s="11"/>
      <c r="G461" s="1"/>
      <c r="H461" s="11"/>
      <c r="I461" s="1"/>
      <c r="J461" s="7"/>
      <c r="K461" s="8"/>
      <c r="L461" s="11"/>
      <c r="M461" s="12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  <c r="Z461" s="14"/>
      <c r="AA461" s="14"/>
      <c r="AB461" s="14"/>
      <c r="AC461" s="14"/>
      <c r="AD461" s="14"/>
      <c r="AE461" s="14"/>
      <c r="AF461" s="14"/>
      <c r="AG461" s="14"/>
      <c r="AH461" s="14"/>
    </row>
    <row r="462" spans="1:34" x14ac:dyDescent="0.25">
      <c r="A462" s="14"/>
      <c r="B462" s="5"/>
      <c r="C462" s="12"/>
      <c r="D462" s="11"/>
      <c r="E462" s="224"/>
      <c r="F462" s="11"/>
      <c r="G462" s="1"/>
      <c r="H462" s="11"/>
      <c r="I462" s="1"/>
      <c r="J462" s="7"/>
      <c r="K462" s="8"/>
      <c r="L462" s="11"/>
      <c r="M462" s="12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  <c r="Z462" s="14"/>
      <c r="AA462" s="14"/>
      <c r="AB462" s="14"/>
      <c r="AC462" s="14"/>
      <c r="AD462" s="14"/>
      <c r="AE462" s="14"/>
      <c r="AF462" s="14"/>
      <c r="AG462" s="14"/>
      <c r="AH462" s="14"/>
    </row>
    <row r="463" spans="1:34" x14ac:dyDescent="0.25">
      <c r="A463" s="14"/>
      <c r="B463" s="5"/>
      <c r="C463" s="12"/>
      <c r="D463" s="11"/>
      <c r="E463" s="224"/>
      <c r="F463" s="11"/>
      <c r="G463" s="1"/>
      <c r="H463" s="11"/>
      <c r="I463" s="1"/>
      <c r="J463" s="7"/>
      <c r="K463" s="8"/>
      <c r="L463" s="11"/>
      <c r="M463" s="12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  <c r="Z463" s="14"/>
      <c r="AA463" s="14"/>
      <c r="AB463" s="14"/>
      <c r="AC463" s="14"/>
      <c r="AD463" s="14"/>
      <c r="AE463" s="14"/>
      <c r="AF463" s="14"/>
      <c r="AG463" s="14"/>
      <c r="AH463" s="14"/>
    </row>
    <row r="464" spans="1:34" x14ac:dyDescent="0.25">
      <c r="A464" s="14"/>
      <c r="B464" s="5"/>
      <c r="C464" s="12"/>
      <c r="D464" s="11"/>
      <c r="E464" s="224"/>
      <c r="F464" s="11"/>
      <c r="G464" s="1"/>
      <c r="H464" s="11"/>
      <c r="I464" s="1"/>
      <c r="J464" s="7"/>
      <c r="K464" s="8"/>
      <c r="L464" s="11"/>
      <c r="M464" s="12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  <c r="Z464" s="14"/>
      <c r="AA464" s="14"/>
      <c r="AB464" s="14"/>
      <c r="AC464" s="14"/>
      <c r="AD464" s="14"/>
      <c r="AE464" s="14"/>
      <c r="AF464" s="14"/>
      <c r="AG464" s="14"/>
      <c r="AH464" s="14"/>
    </row>
    <row r="465" spans="1:34" x14ac:dyDescent="0.25">
      <c r="A465" s="14"/>
      <c r="B465" s="5"/>
      <c r="C465" s="12"/>
      <c r="D465" s="11"/>
      <c r="E465" s="224"/>
      <c r="F465" s="11"/>
      <c r="G465" s="1"/>
      <c r="H465" s="11"/>
      <c r="I465" s="1"/>
      <c r="J465" s="7"/>
      <c r="K465" s="8"/>
      <c r="L465" s="11"/>
      <c r="M465" s="12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  <c r="Z465" s="14"/>
      <c r="AA465" s="14"/>
      <c r="AB465" s="14"/>
      <c r="AC465" s="14"/>
      <c r="AD465" s="14"/>
      <c r="AE465" s="14"/>
      <c r="AF465" s="14"/>
      <c r="AG465" s="14"/>
      <c r="AH465" s="14"/>
    </row>
    <row r="466" spans="1:34" x14ac:dyDescent="0.25">
      <c r="A466" s="14"/>
      <c r="B466" s="5"/>
      <c r="C466" s="12"/>
      <c r="D466" s="11"/>
      <c r="E466" s="224"/>
      <c r="F466" s="11"/>
      <c r="G466" s="1"/>
      <c r="H466" s="11"/>
      <c r="I466" s="1"/>
      <c r="J466" s="7"/>
      <c r="K466" s="8"/>
      <c r="L466" s="11"/>
      <c r="M466" s="12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  <c r="Z466" s="14"/>
      <c r="AA466" s="14"/>
      <c r="AB466" s="14"/>
      <c r="AC466" s="14"/>
      <c r="AD466" s="14"/>
      <c r="AE466" s="14"/>
      <c r="AF466" s="14"/>
      <c r="AG466" s="14"/>
      <c r="AH466" s="14"/>
    </row>
    <row r="467" spans="1:34" x14ac:dyDescent="0.25">
      <c r="A467" s="14"/>
      <c r="B467" s="5"/>
      <c r="C467" s="12"/>
      <c r="D467" s="11"/>
      <c r="E467" s="224"/>
      <c r="F467" s="11"/>
      <c r="G467" s="1"/>
      <c r="H467" s="11"/>
      <c r="I467" s="1"/>
      <c r="J467" s="7"/>
      <c r="K467" s="8"/>
      <c r="L467" s="11"/>
      <c r="M467" s="12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  <c r="Z467" s="14"/>
      <c r="AA467" s="14"/>
      <c r="AB467" s="14"/>
      <c r="AC467" s="14"/>
      <c r="AD467" s="14"/>
      <c r="AE467" s="14"/>
      <c r="AF467" s="14"/>
      <c r="AG467" s="14"/>
      <c r="AH467" s="14"/>
    </row>
    <row r="468" spans="1:34" x14ac:dyDescent="0.25">
      <c r="A468" s="14"/>
      <c r="B468" s="5"/>
      <c r="C468" s="12"/>
      <c r="D468" s="11"/>
      <c r="E468" s="224"/>
      <c r="F468" s="11"/>
      <c r="G468" s="1"/>
      <c r="H468" s="11"/>
      <c r="I468" s="1"/>
      <c r="J468" s="7"/>
      <c r="K468" s="8"/>
      <c r="L468" s="11"/>
      <c r="M468" s="12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  <c r="Z468" s="14"/>
      <c r="AA468" s="14"/>
      <c r="AB468" s="14"/>
      <c r="AC468" s="14"/>
      <c r="AD468" s="14"/>
      <c r="AE468" s="14"/>
      <c r="AF468" s="14"/>
      <c r="AG468" s="14"/>
      <c r="AH468" s="14"/>
    </row>
    <row r="469" spans="1:34" x14ac:dyDescent="0.25">
      <c r="A469" s="14"/>
      <c r="B469" s="5"/>
      <c r="C469" s="12"/>
      <c r="D469" s="11"/>
      <c r="E469" s="224"/>
      <c r="F469" s="11"/>
      <c r="G469" s="1"/>
      <c r="H469" s="11"/>
      <c r="I469" s="1"/>
      <c r="J469" s="7"/>
      <c r="K469" s="8"/>
      <c r="L469" s="11"/>
      <c r="M469" s="12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  <c r="Z469" s="14"/>
      <c r="AA469" s="14"/>
      <c r="AB469" s="14"/>
      <c r="AC469" s="14"/>
      <c r="AD469" s="14"/>
      <c r="AE469" s="14"/>
      <c r="AF469" s="14"/>
      <c r="AG469" s="14"/>
      <c r="AH469" s="14"/>
    </row>
    <row r="470" spans="1:34" x14ac:dyDescent="0.25">
      <c r="A470" s="14"/>
      <c r="B470" s="5"/>
      <c r="C470" s="12"/>
      <c r="D470" s="11"/>
      <c r="E470" s="224"/>
      <c r="F470" s="11"/>
      <c r="G470" s="1"/>
      <c r="H470" s="11"/>
      <c r="I470" s="1"/>
      <c r="J470" s="7"/>
      <c r="K470" s="8"/>
      <c r="L470" s="11"/>
      <c r="M470" s="12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  <c r="Z470" s="14"/>
      <c r="AA470" s="14"/>
      <c r="AB470" s="14"/>
      <c r="AC470" s="14"/>
      <c r="AD470" s="14"/>
      <c r="AE470" s="14"/>
      <c r="AF470" s="14"/>
      <c r="AG470" s="14"/>
      <c r="AH470" s="14"/>
    </row>
    <row r="471" spans="1:34" x14ac:dyDescent="0.25">
      <c r="A471" s="14"/>
      <c r="B471" s="5"/>
      <c r="C471" s="12"/>
      <c r="D471" s="11"/>
      <c r="E471" s="224"/>
      <c r="F471" s="11"/>
      <c r="G471" s="1"/>
      <c r="H471" s="11"/>
      <c r="I471" s="1"/>
      <c r="J471" s="7"/>
      <c r="K471" s="8"/>
      <c r="L471" s="11"/>
      <c r="M471" s="12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  <c r="Z471" s="14"/>
      <c r="AA471" s="14"/>
      <c r="AB471" s="14"/>
      <c r="AC471" s="14"/>
      <c r="AD471" s="14"/>
      <c r="AE471" s="14"/>
      <c r="AF471" s="14"/>
      <c r="AG471" s="14"/>
      <c r="AH471" s="14"/>
    </row>
    <row r="472" spans="1:34" x14ac:dyDescent="0.25">
      <c r="A472" s="14"/>
      <c r="B472" s="5"/>
      <c r="C472" s="12"/>
      <c r="D472" s="11"/>
      <c r="E472" s="224"/>
      <c r="F472" s="11"/>
      <c r="G472" s="1"/>
      <c r="H472" s="11"/>
      <c r="I472" s="1"/>
      <c r="J472" s="7"/>
      <c r="K472" s="8"/>
      <c r="L472" s="11"/>
      <c r="M472" s="12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  <c r="Z472" s="14"/>
      <c r="AA472" s="14"/>
      <c r="AB472" s="14"/>
      <c r="AC472" s="14"/>
      <c r="AD472" s="14"/>
      <c r="AE472" s="14"/>
      <c r="AF472" s="14"/>
      <c r="AG472" s="14"/>
      <c r="AH472" s="14"/>
    </row>
    <row r="473" spans="1:34" x14ac:dyDescent="0.25">
      <c r="A473" s="14"/>
      <c r="B473" s="5"/>
      <c r="C473" s="12"/>
      <c r="D473" s="11"/>
      <c r="E473" s="224"/>
      <c r="F473" s="11"/>
      <c r="G473" s="1"/>
      <c r="H473" s="11"/>
      <c r="I473" s="1"/>
      <c r="J473" s="7"/>
      <c r="K473" s="8"/>
      <c r="L473" s="11"/>
      <c r="M473" s="12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  <c r="Z473" s="14"/>
      <c r="AA473" s="14"/>
      <c r="AB473" s="14"/>
      <c r="AC473" s="14"/>
      <c r="AD473" s="14"/>
      <c r="AE473" s="14"/>
      <c r="AF473" s="14"/>
      <c r="AG473" s="14"/>
      <c r="AH473" s="14"/>
    </row>
    <row r="474" spans="1:34" x14ac:dyDescent="0.25">
      <c r="A474" s="14"/>
      <c r="B474" s="5"/>
      <c r="C474" s="12"/>
      <c r="D474" s="11"/>
      <c r="E474" s="224"/>
      <c r="F474" s="11"/>
      <c r="G474" s="1"/>
      <c r="H474" s="11"/>
      <c r="I474" s="1"/>
      <c r="J474" s="7"/>
      <c r="K474" s="8"/>
      <c r="L474" s="11"/>
      <c r="M474" s="12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  <c r="Z474" s="14"/>
      <c r="AA474" s="14"/>
      <c r="AB474" s="14"/>
      <c r="AC474" s="14"/>
      <c r="AD474" s="14"/>
      <c r="AE474" s="14"/>
      <c r="AF474" s="14"/>
      <c r="AG474" s="14"/>
      <c r="AH474" s="14"/>
    </row>
    <row r="475" spans="1:34" x14ac:dyDescent="0.25">
      <c r="A475" s="14"/>
      <c r="B475" s="5"/>
      <c r="C475" s="12"/>
      <c r="D475" s="11"/>
      <c r="E475" s="224"/>
      <c r="F475" s="11"/>
      <c r="G475" s="1"/>
      <c r="H475" s="11"/>
      <c r="I475" s="1"/>
      <c r="J475" s="7"/>
      <c r="K475" s="8"/>
      <c r="L475" s="11"/>
      <c r="M475" s="12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  <c r="Z475" s="14"/>
      <c r="AA475" s="14"/>
      <c r="AB475" s="14"/>
      <c r="AC475" s="14"/>
      <c r="AD475" s="14"/>
      <c r="AE475" s="14"/>
      <c r="AF475" s="14"/>
      <c r="AG475" s="14"/>
      <c r="AH475" s="14"/>
    </row>
    <row r="476" spans="1:34" x14ac:dyDescent="0.25">
      <c r="A476" s="14"/>
      <c r="B476" s="5"/>
      <c r="C476" s="12"/>
      <c r="D476" s="11"/>
      <c r="E476" s="224"/>
      <c r="F476" s="11"/>
      <c r="G476" s="1"/>
      <c r="H476" s="11"/>
      <c r="I476" s="1"/>
      <c r="J476" s="7"/>
      <c r="K476" s="8"/>
      <c r="L476" s="11"/>
      <c r="M476" s="12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  <c r="Z476" s="14"/>
      <c r="AA476" s="14"/>
      <c r="AB476" s="14"/>
      <c r="AC476" s="14"/>
      <c r="AD476" s="14"/>
      <c r="AE476" s="14"/>
      <c r="AF476" s="14"/>
      <c r="AG476" s="14"/>
      <c r="AH476" s="14"/>
    </row>
    <row r="477" spans="1:34" x14ac:dyDescent="0.25">
      <c r="A477" s="14"/>
      <c r="B477" s="5"/>
      <c r="C477" s="12"/>
      <c r="D477" s="11"/>
      <c r="E477" s="224"/>
      <c r="F477" s="11"/>
      <c r="G477" s="1"/>
      <c r="H477" s="11"/>
      <c r="I477" s="1"/>
      <c r="J477" s="7"/>
      <c r="K477" s="8"/>
      <c r="L477" s="11"/>
      <c r="M477" s="12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  <c r="Z477" s="14"/>
      <c r="AA477" s="14"/>
      <c r="AB477" s="14"/>
      <c r="AC477" s="14"/>
      <c r="AD477" s="14"/>
      <c r="AE477" s="14"/>
      <c r="AF477" s="14"/>
      <c r="AG477" s="14"/>
      <c r="AH477" s="14"/>
    </row>
    <row r="478" spans="1:34" x14ac:dyDescent="0.25">
      <c r="A478" s="14"/>
      <c r="B478" s="5"/>
      <c r="C478" s="12"/>
      <c r="D478" s="11"/>
      <c r="E478" s="224"/>
      <c r="F478" s="11"/>
      <c r="G478" s="1"/>
      <c r="H478" s="11"/>
      <c r="I478" s="1"/>
      <c r="J478" s="7"/>
      <c r="K478" s="8"/>
      <c r="L478" s="11"/>
      <c r="M478" s="12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  <c r="Z478" s="14"/>
      <c r="AA478" s="14"/>
      <c r="AB478" s="14"/>
      <c r="AC478" s="14"/>
      <c r="AD478" s="14"/>
      <c r="AE478" s="14"/>
      <c r="AF478" s="14"/>
      <c r="AG478" s="14"/>
      <c r="AH478" s="14"/>
    </row>
    <row r="479" spans="1:34" x14ac:dyDescent="0.25">
      <c r="A479" s="14"/>
      <c r="B479" s="5"/>
      <c r="C479" s="12"/>
      <c r="D479" s="11"/>
      <c r="E479" s="224"/>
      <c r="F479" s="11"/>
      <c r="G479" s="1"/>
      <c r="H479" s="11"/>
      <c r="I479" s="1"/>
      <c r="J479" s="7"/>
      <c r="K479" s="8"/>
      <c r="L479" s="11"/>
      <c r="M479" s="12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  <c r="Z479" s="14"/>
      <c r="AA479" s="14"/>
      <c r="AB479" s="14"/>
      <c r="AC479" s="14"/>
      <c r="AD479" s="14"/>
      <c r="AE479" s="14"/>
      <c r="AF479" s="14"/>
      <c r="AG479" s="14"/>
      <c r="AH479" s="14"/>
    </row>
    <row r="480" spans="1:34" x14ac:dyDescent="0.25">
      <c r="A480" s="14"/>
      <c r="B480" s="5"/>
      <c r="C480" s="12"/>
      <c r="D480" s="11"/>
      <c r="E480" s="224"/>
      <c r="F480" s="11"/>
      <c r="G480" s="1"/>
      <c r="H480" s="11"/>
      <c r="I480" s="1"/>
      <c r="J480" s="7"/>
      <c r="K480" s="8"/>
      <c r="L480" s="11"/>
      <c r="M480" s="12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  <c r="Z480" s="14"/>
      <c r="AA480" s="14"/>
      <c r="AB480" s="14"/>
      <c r="AC480" s="14"/>
      <c r="AD480" s="14"/>
      <c r="AE480" s="14"/>
      <c r="AF480" s="14"/>
      <c r="AG480" s="14"/>
      <c r="AH480" s="14"/>
    </row>
    <row r="481" spans="1:34" x14ac:dyDescent="0.25">
      <c r="A481" s="14"/>
      <c r="B481" s="5"/>
      <c r="C481" s="12"/>
      <c r="D481" s="11"/>
      <c r="E481" s="224"/>
      <c r="F481" s="11"/>
      <c r="G481" s="1"/>
      <c r="H481" s="11"/>
      <c r="I481" s="1"/>
      <c r="J481" s="7"/>
      <c r="K481" s="8"/>
      <c r="L481" s="11"/>
      <c r="M481" s="12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  <c r="Z481" s="14"/>
      <c r="AA481" s="14"/>
      <c r="AB481" s="14"/>
      <c r="AC481" s="14"/>
      <c r="AD481" s="14"/>
      <c r="AE481" s="14"/>
      <c r="AF481" s="14"/>
      <c r="AG481" s="14"/>
      <c r="AH481" s="14"/>
    </row>
    <row r="482" spans="1:34" x14ac:dyDescent="0.25">
      <c r="A482" s="14"/>
      <c r="B482" s="5"/>
      <c r="C482" s="12"/>
      <c r="D482" s="11"/>
      <c r="E482" s="224"/>
      <c r="F482" s="11"/>
      <c r="G482" s="1"/>
      <c r="H482" s="11"/>
      <c r="I482" s="1"/>
      <c r="J482" s="7"/>
      <c r="K482" s="8"/>
      <c r="L482" s="11"/>
      <c r="M482" s="12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  <c r="Z482" s="14"/>
      <c r="AA482" s="14"/>
      <c r="AB482" s="14"/>
      <c r="AC482" s="14"/>
      <c r="AD482" s="14"/>
      <c r="AE482" s="14"/>
      <c r="AF482" s="14"/>
      <c r="AG482" s="14"/>
      <c r="AH482" s="14"/>
    </row>
    <row r="483" spans="1:34" x14ac:dyDescent="0.25">
      <c r="A483" s="14"/>
      <c r="B483" s="5"/>
      <c r="C483" s="12"/>
      <c r="D483" s="11"/>
      <c r="E483" s="224"/>
      <c r="F483" s="11"/>
      <c r="G483" s="1"/>
      <c r="H483" s="11"/>
      <c r="I483" s="1"/>
      <c r="J483" s="7"/>
      <c r="K483" s="8"/>
      <c r="L483" s="11"/>
      <c r="M483" s="12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  <c r="Z483" s="14"/>
      <c r="AA483" s="14"/>
      <c r="AB483" s="14"/>
      <c r="AC483" s="14"/>
      <c r="AD483" s="14"/>
      <c r="AE483" s="14"/>
      <c r="AF483" s="14"/>
      <c r="AG483" s="14"/>
      <c r="AH483" s="14"/>
    </row>
    <row r="484" spans="1:34" x14ac:dyDescent="0.25">
      <c r="A484" s="14"/>
      <c r="B484" s="5"/>
      <c r="C484" s="12"/>
      <c r="D484" s="11"/>
      <c r="E484" s="224"/>
      <c r="F484" s="11"/>
      <c r="G484" s="1"/>
      <c r="H484" s="11"/>
      <c r="I484" s="1"/>
      <c r="J484" s="7"/>
      <c r="K484" s="8"/>
      <c r="L484" s="11"/>
      <c r="M484" s="12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  <c r="Z484" s="14"/>
      <c r="AA484" s="14"/>
      <c r="AB484" s="14"/>
      <c r="AC484" s="14"/>
      <c r="AD484" s="14"/>
      <c r="AE484" s="14"/>
      <c r="AF484" s="14"/>
      <c r="AG484" s="14"/>
      <c r="AH484" s="14"/>
    </row>
    <row r="485" spans="1:34" x14ac:dyDescent="0.25">
      <c r="A485" s="14"/>
      <c r="B485" s="5"/>
      <c r="C485" s="12"/>
      <c r="D485" s="11"/>
      <c r="E485" s="224"/>
      <c r="F485" s="11"/>
      <c r="G485" s="1"/>
      <c r="H485" s="11"/>
      <c r="I485" s="1"/>
      <c r="J485" s="7"/>
      <c r="K485" s="8"/>
      <c r="L485" s="11"/>
      <c r="M485" s="12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  <c r="Z485" s="14"/>
      <c r="AA485" s="14"/>
      <c r="AB485" s="14"/>
      <c r="AC485" s="14"/>
      <c r="AD485" s="14"/>
      <c r="AE485" s="14"/>
      <c r="AF485" s="14"/>
      <c r="AG485" s="14"/>
      <c r="AH485" s="14"/>
    </row>
    <row r="486" spans="1:34" x14ac:dyDescent="0.25">
      <c r="A486" s="14"/>
      <c r="B486" s="5"/>
      <c r="C486" s="12"/>
      <c r="D486" s="11"/>
      <c r="E486" s="224"/>
      <c r="F486" s="11"/>
      <c r="G486" s="1"/>
      <c r="H486" s="11"/>
      <c r="I486" s="1"/>
      <c r="J486" s="7"/>
      <c r="K486" s="8"/>
      <c r="L486" s="11"/>
      <c r="M486" s="12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  <c r="Z486" s="14"/>
      <c r="AA486" s="14"/>
      <c r="AB486" s="14"/>
      <c r="AC486" s="14"/>
      <c r="AD486" s="14"/>
      <c r="AE486" s="14"/>
      <c r="AF486" s="14"/>
      <c r="AG486" s="14"/>
      <c r="AH486" s="14"/>
    </row>
    <row r="487" spans="1:34" x14ac:dyDescent="0.25">
      <c r="A487" s="14"/>
      <c r="B487" s="5"/>
      <c r="C487" s="12"/>
      <c r="D487" s="11"/>
      <c r="E487" s="224"/>
      <c r="F487" s="11"/>
      <c r="G487" s="1"/>
      <c r="H487" s="11"/>
      <c r="I487" s="1"/>
      <c r="J487" s="7"/>
      <c r="K487" s="8"/>
      <c r="L487" s="11"/>
      <c r="M487" s="12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  <c r="Z487" s="14"/>
      <c r="AA487" s="14"/>
      <c r="AB487" s="14"/>
      <c r="AC487" s="14"/>
      <c r="AD487" s="14"/>
      <c r="AE487" s="14"/>
      <c r="AF487" s="14"/>
      <c r="AG487" s="14"/>
      <c r="AH487" s="14"/>
    </row>
    <row r="488" spans="1:34" x14ac:dyDescent="0.25">
      <c r="A488" s="14"/>
      <c r="B488" s="5"/>
      <c r="C488" s="12"/>
      <c r="D488" s="11"/>
      <c r="E488" s="224"/>
      <c r="F488" s="11"/>
      <c r="G488" s="1"/>
      <c r="H488" s="11"/>
      <c r="I488" s="1"/>
      <c r="J488" s="7"/>
      <c r="K488" s="8"/>
      <c r="L488" s="11"/>
      <c r="M488" s="12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  <c r="Z488" s="14"/>
      <c r="AA488" s="14"/>
      <c r="AB488" s="14"/>
      <c r="AC488" s="14"/>
      <c r="AD488" s="14"/>
      <c r="AE488" s="14"/>
      <c r="AF488" s="14"/>
      <c r="AG488" s="14"/>
      <c r="AH488" s="14"/>
    </row>
    <row r="489" spans="1:34" x14ac:dyDescent="0.25">
      <c r="A489" s="14"/>
      <c r="B489" s="5"/>
      <c r="C489" s="12"/>
      <c r="D489" s="11"/>
      <c r="E489" s="224"/>
      <c r="F489" s="11"/>
      <c r="G489" s="1"/>
      <c r="H489" s="11"/>
      <c r="I489" s="1"/>
      <c r="J489" s="7"/>
      <c r="K489" s="8"/>
      <c r="L489" s="11"/>
      <c r="M489" s="12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  <c r="Z489" s="14"/>
      <c r="AA489" s="14"/>
      <c r="AB489" s="14"/>
      <c r="AC489" s="14"/>
      <c r="AD489" s="14"/>
      <c r="AE489" s="14"/>
      <c r="AF489" s="14"/>
      <c r="AG489" s="14"/>
      <c r="AH489" s="14"/>
    </row>
    <row r="490" spans="1:34" x14ac:dyDescent="0.25">
      <c r="A490" s="14"/>
      <c r="B490" s="5"/>
      <c r="C490" s="12"/>
      <c r="D490" s="11"/>
      <c r="E490" s="224"/>
      <c r="F490" s="11"/>
      <c r="G490" s="1"/>
      <c r="H490" s="11"/>
      <c r="I490" s="1"/>
      <c r="J490" s="7"/>
      <c r="K490" s="8"/>
      <c r="L490" s="11"/>
      <c r="M490" s="12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  <c r="Z490" s="14"/>
      <c r="AA490" s="14"/>
      <c r="AB490" s="14"/>
      <c r="AC490" s="14"/>
      <c r="AD490" s="14"/>
      <c r="AE490" s="14"/>
      <c r="AF490" s="14"/>
      <c r="AG490" s="14"/>
      <c r="AH490" s="14"/>
    </row>
    <row r="491" spans="1:34" x14ac:dyDescent="0.25">
      <c r="A491" s="14"/>
      <c r="B491" s="5"/>
      <c r="C491" s="12"/>
      <c r="D491" s="11"/>
      <c r="E491" s="224"/>
      <c r="F491" s="11"/>
      <c r="G491" s="1"/>
      <c r="H491" s="11"/>
      <c r="I491" s="1"/>
      <c r="J491" s="7"/>
      <c r="K491" s="8"/>
      <c r="L491" s="11"/>
      <c r="M491" s="12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  <c r="Z491" s="14"/>
      <c r="AA491" s="14"/>
      <c r="AB491" s="14"/>
      <c r="AC491" s="14"/>
      <c r="AD491" s="14"/>
      <c r="AE491" s="14"/>
      <c r="AF491" s="14"/>
      <c r="AG491" s="14"/>
      <c r="AH491" s="14"/>
    </row>
    <row r="492" spans="1:34" x14ac:dyDescent="0.25">
      <c r="A492" s="14"/>
      <c r="B492" s="5"/>
      <c r="C492" s="12"/>
      <c r="D492" s="11"/>
      <c r="E492" s="224"/>
      <c r="F492" s="11"/>
      <c r="G492" s="1"/>
      <c r="H492" s="11"/>
      <c r="I492" s="1"/>
      <c r="J492" s="7"/>
      <c r="K492" s="8"/>
      <c r="L492" s="11"/>
      <c r="M492" s="12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  <c r="Z492" s="14"/>
      <c r="AA492" s="14"/>
      <c r="AB492" s="14"/>
      <c r="AC492" s="14"/>
      <c r="AD492" s="14"/>
      <c r="AE492" s="14"/>
      <c r="AF492" s="14"/>
      <c r="AG492" s="14"/>
      <c r="AH492" s="14"/>
    </row>
    <row r="493" spans="1:34" x14ac:dyDescent="0.25">
      <c r="A493" s="14"/>
      <c r="B493" s="5"/>
      <c r="C493" s="12"/>
      <c r="D493" s="11"/>
      <c r="E493" s="224"/>
      <c r="F493" s="11"/>
      <c r="G493" s="1"/>
      <c r="H493" s="11"/>
      <c r="I493" s="1"/>
      <c r="J493" s="7"/>
      <c r="K493" s="8"/>
      <c r="L493" s="11"/>
      <c r="M493" s="12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  <c r="Z493" s="14"/>
      <c r="AA493" s="14"/>
      <c r="AB493" s="14"/>
      <c r="AC493" s="14"/>
      <c r="AD493" s="14"/>
      <c r="AE493" s="14"/>
      <c r="AF493" s="14"/>
      <c r="AG493" s="14"/>
      <c r="AH493" s="14"/>
    </row>
    <row r="494" spans="1:34" x14ac:dyDescent="0.25">
      <c r="A494" s="14"/>
      <c r="B494" s="5"/>
      <c r="C494" s="12"/>
      <c r="D494" s="11"/>
      <c r="E494" s="224"/>
      <c r="F494" s="11"/>
      <c r="G494" s="1"/>
      <c r="H494" s="11"/>
      <c r="I494" s="1"/>
      <c r="J494" s="7"/>
      <c r="K494" s="8"/>
      <c r="L494" s="11"/>
      <c r="M494" s="12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  <c r="Z494" s="14"/>
      <c r="AA494" s="14"/>
      <c r="AB494" s="14"/>
      <c r="AC494" s="14"/>
      <c r="AD494" s="14"/>
      <c r="AE494" s="14"/>
      <c r="AF494" s="14"/>
      <c r="AG494" s="14"/>
      <c r="AH494" s="14"/>
    </row>
    <row r="495" spans="1:34" x14ac:dyDescent="0.25">
      <c r="A495" s="14"/>
      <c r="B495" s="5"/>
      <c r="C495" s="12"/>
      <c r="D495" s="11"/>
      <c r="E495" s="224"/>
      <c r="F495" s="11"/>
      <c r="G495" s="1"/>
      <c r="H495" s="11"/>
      <c r="I495" s="1"/>
      <c r="J495" s="7"/>
      <c r="K495" s="8"/>
      <c r="L495" s="11"/>
      <c r="M495" s="12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  <c r="Z495" s="14"/>
      <c r="AA495" s="14"/>
      <c r="AB495" s="14"/>
      <c r="AC495" s="14"/>
      <c r="AD495" s="14"/>
      <c r="AE495" s="14"/>
      <c r="AF495" s="14"/>
      <c r="AG495" s="14"/>
      <c r="AH495" s="14"/>
    </row>
    <row r="496" spans="1:34" x14ac:dyDescent="0.25">
      <c r="A496" s="14"/>
      <c r="B496" s="5"/>
      <c r="C496" s="12"/>
      <c r="D496" s="11"/>
      <c r="E496" s="224"/>
      <c r="F496" s="11"/>
      <c r="G496" s="1"/>
      <c r="H496" s="11"/>
      <c r="I496" s="1"/>
      <c r="J496" s="7"/>
      <c r="K496" s="8"/>
      <c r="L496" s="11"/>
      <c r="M496" s="12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  <c r="Z496" s="14"/>
      <c r="AA496" s="14"/>
      <c r="AB496" s="14"/>
      <c r="AC496" s="14"/>
      <c r="AD496" s="14"/>
      <c r="AE496" s="14"/>
      <c r="AF496" s="14"/>
      <c r="AG496" s="14"/>
      <c r="AH496" s="14"/>
    </row>
    <row r="497" spans="1:34" x14ac:dyDescent="0.25">
      <c r="A497" s="14"/>
      <c r="B497" s="5"/>
      <c r="C497" s="12"/>
      <c r="D497" s="11"/>
      <c r="E497" s="224"/>
      <c r="F497" s="11"/>
      <c r="G497" s="1"/>
      <c r="H497" s="11"/>
      <c r="I497" s="1"/>
      <c r="J497" s="7"/>
      <c r="K497" s="8"/>
      <c r="L497" s="11"/>
      <c r="M497" s="12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  <c r="Z497" s="14"/>
      <c r="AA497" s="14"/>
      <c r="AB497" s="14"/>
      <c r="AC497" s="14"/>
      <c r="AD497" s="14"/>
      <c r="AE497" s="14"/>
      <c r="AF497" s="14"/>
      <c r="AG497" s="14"/>
      <c r="AH497" s="14"/>
    </row>
    <row r="498" spans="1:34" x14ac:dyDescent="0.25">
      <c r="A498" s="14"/>
      <c r="B498" s="5"/>
      <c r="C498" s="12"/>
      <c r="D498" s="11"/>
      <c r="E498" s="224"/>
      <c r="F498" s="11"/>
      <c r="G498" s="1"/>
      <c r="H498" s="11"/>
      <c r="I498" s="1"/>
      <c r="J498" s="7"/>
      <c r="K498" s="8"/>
      <c r="L498" s="11"/>
      <c r="M498" s="12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  <c r="Z498" s="14"/>
      <c r="AA498" s="14"/>
      <c r="AB498" s="14"/>
      <c r="AC498" s="14"/>
      <c r="AD498" s="14"/>
      <c r="AE498" s="14"/>
      <c r="AF498" s="14"/>
      <c r="AG498" s="14"/>
      <c r="AH498" s="14"/>
    </row>
    <row r="499" spans="1:34" x14ac:dyDescent="0.25">
      <c r="A499" s="14"/>
      <c r="B499" s="5"/>
      <c r="C499" s="12"/>
      <c r="D499" s="11"/>
      <c r="E499" s="224"/>
      <c r="F499" s="11"/>
      <c r="G499" s="1"/>
      <c r="H499" s="11"/>
      <c r="I499" s="1"/>
      <c r="J499" s="7"/>
      <c r="K499" s="8"/>
      <c r="L499" s="11"/>
      <c r="M499" s="12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  <c r="Z499" s="14"/>
      <c r="AA499" s="14"/>
      <c r="AB499" s="14"/>
      <c r="AC499" s="14"/>
      <c r="AD499" s="14"/>
      <c r="AE499" s="14"/>
      <c r="AF499" s="14"/>
      <c r="AG499" s="14"/>
      <c r="AH499" s="14"/>
    </row>
    <row r="500" spans="1:34" x14ac:dyDescent="0.25">
      <c r="A500" s="14"/>
      <c r="B500" s="5"/>
      <c r="C500" s="12"/>
      <c r="D500" s="11"/>
      <c r="E500" s="224"/>
      <c r="F500" s="11"/>
      <c r="G500" s="1"/>
      <c r="H500" s="11"/>
      <c r="I500" s="1"/>
      <c r="J500" s="7"/>
      <c r="K500" s="8"/>
      <c r="L500" s="11"/>
      <c r="M500" s="12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  <c r="Z500" s="14"/>
      <c r="AA500" s="14"/>
      <c r="AB500" s="14"/>
      <c r="AC500" s="14"/>
      <c r="AD500" s="14"/>
      <c r="AE500" s="14"/>
      <c r="AF500" s="14"/>
      <c r="AG500" s="14"/>
      <c r="AH500" s="14"/>
    </row>
    <row r="501" spans="1:34" x14ac:dyDescent="0.25">
      <c r="A501" s="14"/>
      <c r="B501" s="5"/>
      <c r="C501" s="12"/>
      <c r="D501" s="11"/>
      <c r="E501" s="224"/>
      <c r="F501" s="11"/>
      <c r="G501" s="1"/>
      <c r="H501" s="11"/>
      <c r="I501" s="1"/>
      <c r="J501" s="7"/>
      <c r="K501" s="8"/>
      <c r="L501" s="11"/>
      <c r="M501" s="12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  <c r="Z501" s="14"/>
      <c r="AA501" s="14"/>
      <c r="AB501" s="14"/>
      <c r="AC501" s="14"/>
      <c r="AD501" s="14"/>
      <c r="AE501" s="14"/>
      <c r="AF501" s="14"/>
      <c r="AG501" s="14"/>
      <c r="AH501" s="14"/>
    </row>
    <row r="502" spans="1:34" x14ac:dyDescent="0.25">
      <c r="A502" s="14"/>
      <c r="B502" s="5"/>
      <c r="C502" s="12"/>
      <c r="D502" s="11"/>
      <c r="E502" s="224"/>
      <c r="F502" s="11"/>
      <c r="G502" s="1"/>
      <c r="H502" s="11"/>
      <c r="I502" s="1"/>
      <c r="J502" s="7"/>
      <c r="K502" s="8"/>
      <c r="L502" s="11"/>
      <c r="M502" s="12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  <c r="Z502" s="14"/>
      <c r="AA502" s="14"/>
      <c r="AB502" s="14"/>
      <c r="AC502" s="14"/>
      <c r="AD502" s="14"/>
      <c r="AE502" s="14"/>
      <c r="AF502" s="14"/>
      <c r="AG502" s="14"/>
      <c r="AH502" s="14"/>
    </row>
    <row r="503" spans="1:34" x14ac:dyDescent="0.25">
      <c r="A503" s="14"/>
      <c r="B503" s="5"/>
      <c r="C503" s="12"/>
      <c r="D503" s="11"/>
      <c r="E503" s="224"/>
      <c r="F503" s="11"/>
      <c r="G503" s="1"/>
      <c r="H503" s="11"/>
      <c r="I503" s="1"/>
      <c r="J503" s="7"/>
      <c r="K503" s="8"/>
      <c r="L503" s="11"/>
      <c r="M503" s="12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  <c r="Z503" s="14"/>
      <c r="AA503" s="14"/>
      <c r="AB503" s="14"/>
      <c r="AC503" s="14"/>
      <c r="AD503" s="14"/>
      <c r="AE503" s="14"/>
      <c r="AF503" s="14"/>
      <c r="AG503" s="14"/>
      <c r="AH503" s="14"/>
    </row>
    <row r="504" spans="1:34" x14ac:dyDescent="0.25">
      <c r="A504" s="14"/>
      <c r="B504" s="5"/>
      <c r="C504" s="12"/>
      <c r="D504" s="11"/>
      <c r="E504" s="224"/>
      <c r="F504" s="11"/>
      <c r="G504" s="1"/>
      <c r="H504" s="11"/>
      <c r="I504" s="1"/>
      <c r="J504" s="7"/>
      <c r="K504" s="8"/>
      <c r="L504" s="11"/>
      <c r="M504" s="12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  <c r="Z504" s="14"/>
      <c r="AA504" s="14"/>
      <c r="AB504" s="14"/>
      <c r="AC504" s="14"/>
      <c r="AD504" s="14"/>
      <c r="AE504" s="14"/>
      <c r="AF504" s="14"/>
      <c r="AG504" s="14"/>
      <c r="AH504" s="14"/>
    </row>
    <row r="505" spans="1:34" x14ac:dyDescent="0.25">
      <c r="A505" s="14"/>
      <c r="B505" s="5"/>
      <c r="C505" s="12"/>
      <c r="D505" s="11"/>
      <c r="E505" s="224"/>
      <c r="F505" s="11"/>
      <c r="G505" s="1"/>
      <c r="H505" s="11"/>
      <c r="I505" s="1"/>
      <c r="J505" s="7"/>
      <c r="K505" s="8"/>
      <c r="L505" s="11"/>
      <c r="M505" s="12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  <c r="Z505" s="14"/>
      <c r="AA505" s="14"/>
      <c r="AB505" s="14"/>
      <c r="AC505" s="14"/>
      <c r="AD505" s="14"/>
      <c r="AE505" s="14"/>
      <c r="AF505" s="14"/>
      <c r="AG505" s="14"/>
      <c r="AH505" s="14"/>
    </row>
    <row r="506" spans="1:34" x14ac:dyDescent="0.25">
      <c r="A506" s="14"/>
      <c r="B506" s="5"/>
      <c r="C506" s="12"/>
      <c r="D506" s="11"/>
      <c r="E506" s="224"/>
      <c r="F506" s="11"/>
      <c r="G506" s="1"/>
      <c r="H506" s="11"/>
      <c r="I506" s="1"/>
      <c r="J506" s="7"/>
      <c r="K506" s="8"/>
      <c r="L506" s="11"/>
      <c r="M506" s="12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  <c r="Z506" s="14"/>
      <c r="AA506" s="14"/>
      <c r="AB506" s="14"/>
      <c r="AC506" s="14"/>
      <c r="AD506" s="14"/>
      <c r="AE506" s="14"/>
      <c r="AF506" s="14"/>
      <c r="AG506" s="14"/>
      <c r="AH506" s="14"/>
    </row>
    <row r="507" spans="1:34" x14ac:dyDescent="0.25">
      <c r="A507" s="14"/>
      <c r="B507" s="5"/>
      <c r="C507" s="12"/>
      <c r="D507" s="11"/>
      <c r="E507" s="224"/>
      <c r="F507" s="11"/>
      <c r="G507" s="1"/>
      <c r="H507" s="11"/>
      <c r="I507" s="1"/>
      <c r="J507" s="7"/>
      <c r="K507" s="8"/>
      <c r="L507" s="11"/>
      <c r="M507" s="12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  <c r="Z507" s="14"/>
      <c r="AA507" s="14"/>
      <c r="AB507" s="14"/>
      <c r="AC507" s="14"/>
      <c r="AD507" s="14"/>
      <c r="AE507" s="14"/>
      <c r="AF507" s="14"/>
      <c r="AG507" s="14"/>
      <c r="AH507" s="14"/>
    </row>
    <row r="508" spans="1:34" x14ac:dyDescent="0.25">
      <c r="A508" s="14"/>
      <c r="B508" s="5"/>
      <c r="C508" s="12"/>
      <c r="D508" s="11"/>
      <c r="E508" s="224"/>
      <c r="F508" s="11"/>
      <c r="G508" s="1"/>
      <c r="H508" s="11"/>
      <c r="I508" s="1"/>
      <c r="J508" s="7"/>
      <c r="K508" s="8"/>
      <c r="L508" s="11"/>
      <c r="M508" s="12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  <c r="Z508" s="14"/>
      <c r="AA508" s="14"/>
      <c r="AB508" s="14"/>
      <c r="AC508" s="14"/>
      <c r="AD508" s="14"/>
      <c r="AE508" s="14"/>
      <c r="AF508" s="14"/>
      <c r="AG508" s="14"/>
      <c r="AH508" s="14"/>
    </row>
    <row r="509" spans="1:34" x14ac:dyDescent="0.25">
      <c r="A509" s="14"/>
      <c r="B509" s="5"/>
      <c r="C509" s="12"/>
      <c r="D509" s="11"/>
      <c r="E509" s="224"/>
      <c r="F509" s="11"/>
      <c r="G509" s="1"/>
      <c r="H509" s="11"/>
      <c r="I509" s="1"/>
      <c r="J509" s="7"/>
      <c r="K509" s="8"/>
      <c r="L509" s="11"/>
      <c r="M509" s="12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  <c r="Z509" s="14"/>
      <c r="AA509" s="14"/>
      <c r="AB509" s="14"/>
      <c r="AC509" s="14"/>
      <c r="AD509" s="14"/>
      <c r="AE509" s="14"/>
      <c r="AF509" s="14"/>
      <c r="AG509" s="14"/>
      <c r="AH509" s="14"/>
    </row>
    <row r="510" spans="1:34" x14ac:dyDescent="0.25">
      <c r="A510" s="14"/>
      <c r="B510" s="5"/>
      <c r="C510" s="12"/>
      <c r="D510" s="11"/>
      <c r="E510" s="224"/>
      <c r="F510" s="11"/>
      <c r="G510" s="1"/>
      <c r="H510" s="11"/>
      <c r="I510" s="1"/>
      <c r="J510" s="7"/>
      <c r="K510" s="8"/>
      <c r="L510" s="11"/>
      <c r="M510" s="12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  <c r="Z510" s="14"/>
      <c r="AA510" s="14"/>
      <c r="AB510" s="14"/>
      <c r="AC510" s="14"/>
      <c r="AD510" s="14"/>
      <c r="AE510" s="14"/>
      <c r="AF510" s="14"/>
      <c r="AG510" s="14"/>
      <c r="AH510" s="14"/>
    </row>
    <row r="511" spans="1:34" x14ac:dyDescent="0.25">
      <c r="A511" s="14"/>
      <c r="B511" s="5"/>
      <c r="C511" s="12"/>
      <c r="D511" s="11"/>
      <c r="E511" s="224"/>
      <c r="F511" s="11"/>
      <c r="G511" s="1"/>
      <c r="H511" s="11"/>
      <c r="I511" s="1"/>
      <c r="J511" s="7"/>
      <c r="K511" s="8"/>
      <c r="L511" s="11"/>
      <c r="M511" s="12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  <c r="Z511" s="14"/>
      <c r="AA511" s="14"/>
      <c r="AB511" s="14"/>
      <c r="AC511" s="14"/>
      <c r="AD511" s="14"/>
      <c r="AE511" s="14"/>
      <c r="AF511" s="14"/>
      <c r="AG511" s="14"/>
      <c r="AH511" s="14"/>
    </row>
    <row r="512" spans="1:34" x14ac:dyDescent="0.25">
      <c r="A512" s="14"/>
      <c r="B512" s="5"/>
      <c r="C512" s="12"/>
      <c r="D512" s="11"/>
      <c r="E512" s="224"/>
      <c r="F512" s="11"/>
      <c r="G512" s="1"/>
      <c r="H512" s="11"/>
      <c r="I512" s="1"/>
      <c r="J512" s="7"/>
      <c r="K512" s="8"/>
      <c r="L512" s="11"/>
      <c r="M512" s="12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  <c r="Z512" s="14"/>
      <c r="AA512" s="14"/>
      <c r="AB512" s="14"/>
      <c r="AC512" s="14"/>
      <c r="AD512" s="14"/>
      <c r="AE512" s="14"/>
      <c r="AF512" s="14"/>
      <c r="AG512" s="14"/>
      <c r="AH512" s="14"/>
    </row>
    <row r="513" spans="1:34" x14ac:dyDescent="0.25">
      <c r="A513" s="14"/>
      <c r="B513" s="5"/>
      <c r="C513" s="12"/>
      <c r="D513" s="11"/>
      <c r="E513" s="224"/>
      <c r="F513" s="11"/>
      <c r="G513" s="1"/>
      <c r="H513" s="11"/>
      <c r="I513" s="1"/>
      <c r="J513" s="7"/>
      <c r="K513" s="8"/>
      <c r="L513" s="11"/>
      <c r="M513" s="12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  <c r="Z513" s="14"/>
      <c r="AA513" s="14"/>
      <c r="AB513" s="14"/>
      <c r="AC513" s="14"/>
      <c r="AD513" s="14"/>
      <c r="AE513" s="14"/>
      <c r="AF513" s="14"/>
      <c r="AG513" s="14"/>
      <c r="AH513" s="14"/>
    </row>
    <row r="514" spans="1:34" x14ac:dyDescent="0.25">
      <c r="A514" s="14"/>
      <c r="B514" s="5"/>
      <c r="C514" s="12"/>
      <c r="D514" s="11"/>
      <c r="E514" s="224"/>
      <c r="F514" s="11"/>
      <c r="G514" s="1"/>
      <c r="H514" s="11"/>
      <c r="I514" s="1"/>
      <c r="J514" s="7"/>
      <c r="K514" s="8"/>
      <c r="L514" s="11"/>
      <c r="M514" s="12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  <c r="Z514" s="14"/>
      <c r="AA514" s="14"/>
      <c r="AB514" s="14"/>
      <c r="AC514" s="14"/>
      <c r="AD514" s="14"/>
      <c r="AE514" s="14"/>
      <c r="AF514" s="14"/>
      <c r="AG514" s="14"/>
      <c r="AH514" s="14"/>
    </row>
    <row r="515" spans="1:34" x14ac:dyDescent="0.25">
      <c r="A515" s="14"/>
      <c r="B515" s="5"/>
      <c r="C515" s="12"/>
      <c r="D515" s="11"/>
      <c r="E515" s="224"/>
      <c r="F515" s="11"/>
      <c r="G515" s="1"/>
      <c r="H515" s="11"/>
      <c r="I515" s="1"/>
      <c r="J515" s="7"/>
      <c r="K515" s="8"/>
      <c r="L515" s="11"/>
      <c r="M515" s="12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  <c r="Z515" s="14"/>
      <c r="AA515" s="14"/>
      <c r="AB515" s="14"/>
      <c r="AC515" s="14"/>
      <c r="AD515" s="14"/>
      <c r="AE515" s="14"/>
      <c r="AF515" s="14"/>
      <c r="AG515" s="14"/>
      <c r="AH515" s="14"/>
    </row>
    <row r="516" spans="1:34" x14ac:dyDescent="0.25">
      <c r="A516" s="14"/>
      <c r="B516" s="5"/>
      <c r="C516" s="12"/>
      <c r="D516" s="11"/>
      <c r="E516" s="224"/>
      <c r="F516" s="11"/>
      <c r="G516" s="1"/>
      <c r="H516" s="11"/>
      <c r="I516" s="1"/>
      <c r="J516" s="7"/>
      <c r="K516" s="8"/>
      <c r="L516" s="11"/>
      <c r="M516" s="12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  <c r="Z516" s="14"/>
      <c r="AA516" s="14"/>
      <c r="AB516" s="14"/>
      <c r="AC516" s="14"/>
      <c r="AD516" s="14"/>
      <c r="AE516" s="14"/>
      <c r="AF516" s="14"/>
      <c r="AG516" s="14"/>
      <c r="AH516" s="14"/>
    </row>
    <row r="517" spans="1:34" x14ac:dyDescent="0.25">
      <c r="A517" s="14"/>
      <c r="B517" s="5"/>
      <c r="C517" s="12"/>
      <c r="D517" s="11"/>
      <c r="E517" s="224"/>
      <c r="F517" s="11"/>
      <c r="G517" s="1"/>
      <c r="H517" s="11"/>
      <c r="I517" s="1"/>
      <c r="J517" s="7"/>
      <c r="K517" s="8"/>
      <c r="L517" s="11"/>
      <c r="M517" s="12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  <c r="Z517" s="14"/>
      <c r="AA517" s="14"/>
      <c r="AB517" s="14"/>
      <c r="AC517" s="14"/>
      <c r="AD517" s="14"/>
      <c r="AE517" s="14"/>
      <c r="AF517" s="14"/>
      <c r="AG517" s="14"/>
      <c r="AH517" s="14"/>
    </row>
    <row r="518" spans="1:34" x14ac:dyDescent="0.25">
      <c r="A518" s="14"/>
      <c r="B518" s="5"/>
      <c r="C518" s="12"/>
      <c r="D518" s="11"/>
      <c r="E518" s="224"/>
      <c r="F518" s="11"/>
      <c r="G518" s="1"/>
      <c r="H518" s="11"/>
      <c r="I518" s="1"/>
      <c r="J518" s="7"/>
      <c r="K518" s="8"/>
      <c r="L518" s="11"/>
      <c r="M518" s="12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  <c r="Z518" s="14"/>
      <c r="AA518" s="14"/>
      <c r="AB518" s="14"/>
      <c r="AC518" s="14"/>
      <c r="AD518" s="14"/>
      <c r="AE518" s="14"/>
      <c r="AF518" s="14"/>
      <c r="AG518" s="14"/>
      <c r="AH518" s="14"/>
    </row>
    <row r="519" spans="1:34" x14ac:dyDescent="0.25">
      <c r="A519" s="14"/>
      <c r="B519" s="5"/>
      <c r="C519" s="12"/>
      <c r="D519" s="11"/>
      <c r="E519" s="224"/>
      <c r="F519" s="11"/>
      <c r="G519" s="1"/>
      <c r="H519" s="11"/>
      <c r="I519" s="1"/>
      <c r="J519" s="7"/>
      <c r="K519" s="8"/>
      <c r="L519" s="11"/>
      <c r="M519" s="12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  <c r="Z519" s="14"/>
      <c r="AA519" s="14"/>
      <c r="AB519" s="14"/>
      <c r="AC519" s="14"/>
      <c r="AD519" s="14"/>
      <c r="AE519" s="14"/>
      <c r="AF519" s="14"/>
      <c r="AG519" s="14"/>
      <c r="AH519" s="14"/>
    </row>
    <row r="520" spans="1:34" x14ac:dyDescent="0.25">
      <c r="A520" s="14"/>
      <c r="B520" s="5"/>
      <c r="C520" s="12"/>
      <c r="D520" s="11"/>
      <c r="E520" s="224"/>
      <c r="F520" s="11"/>
      <c r="G520" s="1"/>
      <c r="H520" s="11"/>
      <c r="I520" s="1"/>
      <c r="J520" s="7"/>
      <c r="K520" s="8"/>
      <c r="L520" s="11"/>
      <c r="M520" s="12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  <c r="Z520" s="14"/>
      <c r="AA520" s="14"/>
      <c r="AB520" s="14"/>
      <c r="AC520" s="14"/>
      <c r="AD520" s="14"/>
      <c r="AE520" s="14"/>
      <c r="AF520" s="14"/>
      <c r="AG520" s="14"/>
      <c r="AH520" s="14"/>
    </row>
    <row r="521" spans="1:34" x14ac:dyDescent="0.25">
      <c r="A521" s="14"/>
      <c r="B521" s="5"/>
      <c r="C521" s="12"/>
      <c r="D521" s="11"/>
      <c r="E521" s="224"/>
      <c r="F521" s="11"/>
      <c r="G521" s="1"/>
      <c r="H521" s="11"/>
      <c r="I521" s="1"/>
      <c r="J521" s="7"/>
      <c r="K521" s="8"/>
      <c r="L521" s="11"/>
      <c r="M521" s="12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  <c r="Z521" s="14"/>
      <c r="AA521" s="14"/>
      <c r="AB521" s="14"/>
      <c r="AC521" s="14"/>
      <c r="AD521" s="14"/>
      <c r="AE521" s="14"/>
      <c r="AF521" s="14"/>
      <c r="AG521" s="14"/>
      <c r="AH521" s="14"/>
    </row>
    <row r="522" spans="1:34" x14ac:dyDescent="0.25">
      <c r="A522" s="14"/>
      <c r="B522" s="5"/>
      <c r="C522" s="12"/>
      <c r="D522" s="11"/>
      <c r="E522" s="224"/>
      <c r="F522" s="11"/>
      <c r="G522" s="1"/>
      <c r="H522" s="11"/>
      <c r="I522" s="1"/>
      <c r="J522" s="7"/>
      <c r="K522" s="8"/>
      <c r="L522" s="11"/>
      <c r="M522" s="12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  <c r="Z522" s="14"/>
      <c r="AA522" s="14"/>
      <c r="AB522" s="14"/>
      <c r="AC522" s="14"/>
      <c r="AD522" s="14"/>
      <c r="AE522" s="14"/>
      <c r="AF522" s="14"/>
      <c r="AG522" s="14"/>
      <c r="AH522" s="14"/>
    </row>
    <row r="523" spans="1:34" x14ac:dyDescent="0.25">
      <c r="A523" s="14"/>
      <c r="B523" s="5"/>
      <c r="C523" s="12"/>
      <c r="D523" s="11"/>
      <c r="E523" s="224"/>
      <c r="F523" s="11"/>
      <c r="G523" s="1"/>
      <c r="H523" s="11"/>
      <c r="I523" s="1"/>
      <c r="J523" s="7"/>
      <c r="K523" s="8"/>
      <c r="L523" s="11"/>
      <c r="M523" s="12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  <c r="Z523" s="14"/>
      <c r="AA523" s="14"/>
      <c r="AB523" s="14"/>
      <c r="AC523" s="14"/>
      <c r="AD523" s="14"/>
      <c r="AE523" s="14"/>
      <c r="AF523" s="14"/>
      <c r="AG523" s="14"/>
      <c r="AH523" s="14"/>
    </row>
    <row r="524" spans="1:34" x14ac:dyDescent="0.25">
      <c r="A524" s="14"/>
      <c r="B524" s="5"/>
      <c r="C524" s="12"/>
      <c r="D524" s="11"/>
      <c r="E524" s="224"/>
      <c r="F524" s="11"/>
      <c r="G524" s="1"/>
      <c r="H524" s="11"/>
      <c r="I524" s="1"/>
      <c r="J524" s="7"/>
      <c r="K524" s="8"/>
      <c r="L524" s="11"/>
      <c r="M524" s="12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  <c r="Z524" s="14"/>
      <c r="AA524" s="14"/>
      <c r="AB524" s="14"/>
      <c r="AC524" s="14"/>
      <c r="AD524" s="14"/>
      <c r="AE524" s="14"/>
      <c r="AF524" s="14"/>
      <c r="AG524" s="14"/>
      <c r="AH524" s="14"/>
    </row>
    <row r="525" spans="1:34" x14ac:dyDescent="0.25">
      <c r="A525" s="14"/>
      <c r="B525" s="5"/>
      <c r="C525" s="12"/>
      <c r="D525" s="11"/>
      <c r="E525" s="224"/>
      <c r="F525" s="11"/>
      <c r="G525" s="1"/>
      <c r="H525" s="11"/>
      <c r="I525" s="1"/>
      <c r="J525" s="7"/>
      <c r="K525" s="8"/>
      <c r="L525" s="11"/>
      <c r="M525" s="12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  <c r="Z525" s="14"/>
      <c r="AA525" s="14"/>
      <c r="AB525" s="14"/>
      <c r="AC525" s="14"/>
      <c r="AD525" s="14"/>
      <c r="AE525" s="14"/>
      <c r="AF525" s="14"/>
      <c r="AG525" s="14"/>
      <c r="AH525" s="14"/>
    </row>
    <row r="526" spans="1:34" x14ac:dyDescent="0.25">
      <c r="A526" s="14"/>
      <c r="B526" s="5"/>
      <c r="C526" s="12"/>
      <c r="D526" s="11"/>
      <c r="E526" s="224"/>
      <c r="F526" s="11"/>
      <c r="G526" s="1"/>
      <c r="H526" s="11"/>
      <c r="I526" s="1"/>
      <c r="J526" s="7"/>
      <c r="K526" s="8"/>
      <c r="L526" s="11"/>
      <c r="M526" s="12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  <c r="Z526" s="14"/>
      <c r="AA526" s="14"/>
      <c r="AB526" s="14"/>
      <c r="AC526" s="14"/>
      <c r="AD526" s="14"/>
      <c r="AE526" s="14"/>
      <c r="AF526" s="14"/>
      <c r="AG526" s="14"/>
      <c r="AH526" s="14"/>
    </row>
    <row r="527" spans="1:34" x14ac:dyDescent="0.25">
      <c r="A527" s="14"/>
      <c r="B527" s="5"/>
      <c r="C527" s="12"/>
      <c r="D527" s="11"/>
      <c r="E527" s="224"/>
      <c r="F527" s="11"/>
      <c r="G527" s="1"/>
      <c r="H527" s="11"/>
      <c r="I527" s="1"/>
      <c r="J527" s="7"/>
      <c r="K527" s="8"/>
      <c r="L527" s="11"/>
      <c r="M527" s="12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  <c r="Z527" s="14"/>
      <c r="AA527" s="14"/>
      <c r="AB527" s="14"/>
      <c r="AC527" s="14"/>
      <c r="AD527" s="14"/>
      <c r="AE527" s="14"/>
      <c r="AF527" s="14"/>
      <c r="AG527" s="14"/>
      <c r="AH527" s="14"/>
    </row>
    <row r="528" spans="1:34" x14ac:dyDescent="0.25">
      <c r="A528" s="14"/>
      <c r="B528" s="5"/>
      <c r="C528" s="12"/>
      <c r="D528" s="11"/>
      <c r="E528" s="224"/>
      <c r="F528" s="11"/>
      <c r="G528" s="1"/>
      <c r="H528" s="11"/>
      <c r="I528" s="1"/>
      <c r="J528" s="7"/>
      <c r="K528" s="8"/>
      <c r="L528" s="11"/>
      <c r="M528" s="12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  <c r="Z528" s="14"/>
      <c r="AA528" s="14"/>
      <c r="AB528" s="14"/>
      <c r="AC528" s="14"/>
      <c r="AD528" s="14"/>
      <c r="AE528" s="14"/>
      <c r="AF528" s="14"/>
      <c r="AG528" s="14"/>
      <c r="AH528" s="14"/>
    </row>
    <row r="529" spans="1:34" x14ac:dyDescent="0.25">
      <c r="A529" s="14"/>
      <c r="B529" s="5"/>
      <c r="C529" s="12"/>
      <c r="D529" s="11"/>
      <c r="E529" s="224"/>
      <c r="F529" s="11"/>
      <c r="G529" s="1"/>
      <c r="H529" s="11"/>
      <c r="I529" s="1"/>
      <c r="J529" s="7"/>
      <c r="K529" s="8"/>
      <c r="L529" s="11"/>
      <c r="M529" s="12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  <c r="Z529" s="14"/>
      <c r="AA529" s="14"/>
      <c r="AB529" s="14"/>
      <c r="AC529" s="14"/>
      <c r="AD529" s="14"/>
      <c r="AE529" s="14"/>
      <c r="AF529" s="14"/>
      <c r="AG529" s="14"/>
      <c r="AH529" s="14"/>
    </row>
    <row r="530" spans="1:34" x14ac:dyDescent="0.25">
      <c r="A530" s="14"/>
      <c r="B530" s="5"/>
      <c r="C530" s="12"/>
      <c r="D530" s="11"/>
      <c r="E530" s="224"/>
      <c r="F530" s="11"/>
      <c r="G530" s="1"/>
      <c r="H530" s="11"/>
      <c r="I530" s="1"/>
      <c r="J530" s="7"/>
      <c r="K530" s="8"/>
      <c r="L530" s="11"/>
      <c r="M530" s="12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  <c r="Z530" s="14"/>
      <c r="AA530" s="14"/>
      <c r="AB530" s="14"/>
      <c r="AC530" s="14"/>
      <c r="AD530" s="14"/>
      <c r="AE530" s="14"/>
      <c r="AF530" s="14"/>
      <c r="AG530" s="14"/>
      <c r="AH530" s="14"/>
    </row>
    <row r="531" spans="1:34" x14ac:dyDescent="0.25">
      <c r="A531" s="14"/>
      <c r="B531" s="5"/>
      <c r="C531" s="12"/>
      <c r="D531" s="11"/>
      <c r="E531" s="224"/>
      <c r="F531" s="11"/>
      <c r="G531" s="1"/>
      <c r="H531" s="11"/>
      <c r="I531" s="1"/>
      <c r="J531" s="7"/>
      <c r="K531" s="8"/>
      <c r="L531" s="11"/>
      <c r="M531" s="12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  <c r="Z531" s="14"/>
      <c r="AA531" s="14"/>
      <c r="AB531" s="14"/>
      <c r="AC531" s="14"/>
      <c r="AD531" s="14"/>
      <c r="AE531" s="14"/>
      <c r="AF531" s="14"/>
      <c r="AG531" s="14"/>
      <c r="AH531" s="14"/>
    </row>
    <row r="532" spans="1:34" x14ac:dyDescent="0.25">
      <c r="A532" s="14"/>
      <c r="B532" s="5"/>
      <c r="C532" s="12"/>
      <c r="D532" s="11"/>
      <c r="E532" s="224"/>
      <c r="F532" s="11"/>
      <c r="G532" s="1"/>
      <c r="H532" s="11"/>
      <c r="I532" s="1"/>
      <c r="J532" s="7"/>
      <c r="K532" s="8"/>
      <c r="L532" s="11"/>
      <c r="M532" s="12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  <c r="Z532" s="14"/>
      <c r="AA532" s="14"/>
      <c r="AB532" s="14"/>
      <c r="AC532" s="14"/>
      <c r="AD532" s="14"/>
      <c r="AE532" s="14"/>
      <c r="AF532" s="14"/>
      <c r="AG532" s="14"/>
      <c r="AH532" s="14"/>
    </row>
    <row r="533" spans="1:34" x14ac:dyDescent="0.25">
      <c r="A533" s="14"/>
      <c r="B533" s="5"/>
      <c r="C533" s="12"/>
      <c r="D533" s="11"/>
      <c r="E533" s="224"/>
      <c r="F533" s="11"/>
      <c r="G533" s="1"/>
      <c r="H533" s="11"/>
      <c r="I533" s="1"/>
      <c r="J533" s="7"/>
      <c r="K533" s="8"/>
      <c r="L533" s="11"/>
      <c r="M533" s="12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  <c r="Z533" s="14"/>
      <c r="AA533" s="14"/>
      <c r="AB533" s="14"/>
      <c r="AC533" s="14"/>
      <c r="AD533" s="14"/>
      <c r="AE533" s="14"/>
      <c r="AF533" s="14"/>
      <c r="AG533" s="14"/>
      <c r="AH533" s="14"/>
    </row>
    <row r="534" spans="1:34" x14ac:dyDescent="0.25">
      <c r="A534" s="14"/>
      <c r="B534" s="5"/>
      <c r="C534" s="12"/>
      <c r="D534" s="11"/>
      <c r="E534" s="224"/>
      <c r="F534" s="11"/>
      <c r="G534" s="1"/>
      <c r="H534" s="11"/>
      <c r="I534" s="1"/>
      <c r="J534" s="7"/>
      <c r="K534" s="8"/>
      <c r="L534" s="11"/>
      <c r="M534" s="12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  <c r="Z534" s="14"/>
      <c r="AA534" s="14"/>
      <c r="AB534" s="14"/>
      <c r="AC534" s="14"/>
      <c r="AD534" s="14"/>
      <c r="AE534" s="14"/>
      <c r="AF534" s="14"/>
      <c r="AG534" s="14"/>
      <c r="AH534" s="14"/>
    </row>
    <row r="535" spans="1:34" x14ac:dyDescent="0.25">
      <c r="A535" s="14"/>
      <c r="B535" s="5"/>
      <c r="C535" s="12"/>
      <c r="D535" s="11"/>
      <c r="E535" s="224"/>
      <c r="F535" s="11"/>
      <c r="G535" s="1"/>
      <c r="H535" s="11"/>
      <c r="I535" s="1"/>
      <c r="J535" s="7"/>
      <c r="K535" s="8"/>
      <c r="L535" s="11"/>
      <c r="M535" s="12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  <c r="Z535" s="14"/>
      <c r="AA535" s="14"/>
      <c r="AB535" s="14"/>
      <c r="AC535" s="14"/>
      <c r="AD535" s="14"/>
      <c r="AE535" s="14"/>
      <c r="AF535" s="14"/>
      <c r="AG535" s="14"/>
      <c r="AH535" s="14"/>
    </row>
    <row r="536" spans="1:34" x14ac:dyDescent="0.25">
      <c r="A536" s="14"/>
      <c r="B536" s="5"/>
      <c r="C536" s="12"/>
      <c r="D536" s="11"/>
      <c r="E536" s="224"/>
      <c r="F536" s="11"/>
      <c r="G536" s="1"/>
      <c r="H536" s="11"/>
      <c r="I536" s="1"/>
      <c r="J536" s="7"/>
      <c r="K536" s="8"/>
      <c r="L536" s="11"/>
      <c r="M536" s="12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  <c r="Z536" s="14"/>
      <c r="AA536" s="14"/>
      <c r="AB536" s="14"/>
      <c r="AC536" s="14"/>
      <c r="AD536" s="14"/>
      <c r="AE536" s="14"/>
      <c r="AF536" s="14"/>
      <c r="AG536" s="14"/>
      <c r="AH536" s="14"/>
    </row>
    <row r="537" spans="1:34" x14ac:dyDescent="0.25">
      <c r="A537" s="14"/>
      <c r="B537" s="5"/>
      <c r="C537" s="12"/>
      <c r="D537" s="11"/>
      <c r="E537" s="224"/>
      <c r="F537" s="11"/>
      <c r="G537" s="1"/>
      <c r="H537" s="11"/>
      <c r="I537" s="1"/>
      <c r="J537" s="7"/>
      <c r="K537" s="8"/>
      <c r="L537" s="11"/>
      <c r="M537" s="12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  <c r="Z537" s="14"/>
      <c r="AA537" s="14"/>
      <c r="AB537" s="14"/>
      <c r="AC537" s="14"/>
      <c r="AD537" s="14"/>
      <c r="AE537" s="14"/>
      <c r="AF537" s="14"/>
      <c r="AG537" s="14"/>
      <c r="AH537" s="14"/>
    </row>
    <row r="538" spans="1:34" x14ac:dyDescent="0.25">
      <c r="A538" s="14"/>
      <c r="B538" s="5"/>
      <c r="C538" s="12"/>
      <c r="D538" s="11"/>
      <c r="E538" s="224"/>
      <c r="F538" s="11"/>
      <c r="G538" s="1"/>
      <c r="H538" s="11"/>
      <c r="I538" s="1"/>
      <c r="J538" s="7"/>
      <c r="K538" s="8"/>
      <c r="L538" s="11"/>
      <c r="M538" s="12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  <c r="Z538" s="14"/>
      <c r="AA538" s="14"/>
      <c r="AB538" s="14"/>
      <c r="AC538" s="14"/>
      <c r="AD538" s="14"/>
      <c r="AE538" s="14"/>
      <c r="AF538" s="14"/>
      <c r="AG538" s="14"/>
      <c r="AH538" s="14"/>
    </row>
    <row r="539" spans="1:34" x14ac:dyDescent="0.25">
      <c r="A539" s="14"/>
      <c r="B539" s="5"/>
      <c r="C539" s="12"/>
      <c r="D539" s="11"/>
      <c r="E539" s="224"/>
      <c r="F539" s="11"/>
      <c r="G539" s="1"/>
      <c r="H539" s="11"/>
      <c r="I539" s="1"/>
      <c r="J539" s="7"/>
      <c r="K539" s="8"/>
      <c r="L539" s="11"/>
      <c r="M539" s="12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  <c r="Z539" s="14"/>
      <c r="AA539" s="14"/>
      <c r="AB539" s="14"/>
      <c r="AC539" s="14"/>
      <c r="AD539" s="14"/>
      <c r="AE539" s="14"/>
      <c r="AF539" s="14"/>
      <c r="AG539" s="14"/>
      <c r="AH539" s="14"/>
    </row>
    <row r="540" spans="1:34" x14ac:dyDescent="0.25">
      <c r="A540" s="14"/>
      <c r="B540" s="5"/>
      <c r="C540" s="12"/>
      <c r="D540" s="11"/>
      <c r="E540" s="224"/>
      <c r="F540" s="11"/>
      <c r="G540" s="1"/>
      <c r="H540" s="11"/>
      <c r="I540" s="1"/>
      <c r="J540" s="7"/>
      <c r="K540" s="8"/>
      <c r="L540" s="11"/>
      <c r="M540" s="12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  <c r="Z540" s="14"/>
      <c r="AA540" s="14"/>
      <c r="AB540" s="14"/>
      <c r="AC540" s="14"/>
      <c r="AD540" s="14"/>
      <c r="AE540" s="14"/>
      <c r="AF540" s="14"/>
      <c r="AG540" s="14"/>
      <c r="AH540" s="14"/>
    </row>
    <row r="541" spans="1:34" x14ac:dyDescent="0.25">
      <c r="A541" s="14"/>
      <c r="B541" s="5"/>
      <c r="C541" s="12"/>
      <c r="D541" s="11"/>
      <c r="E541" s="224"/>
      <c r="F541" s="11"/>
      <c r="G541" s="1"/>
      <c r="H541" s="11"/>
      <c r="I541" s="1"/>
      <c r="J541" s="7"/>
      <c r="K541" s="8"/>
      <c r="L541" s="11"/>
      <c r="M541" s="12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  <c r="Z541" s="14"/>
      <c r="AA541" s="14"/>
      <c r="AB541" s="14"/>
      <c r="AC541" s="14"/>
      <c r="AD541" s="14"/>
      <c r="AE541" s="14"/>
      <c r="AF541" s="14"/>
      <c r="AG541" s="14"/>
      <c r="AH541" s="14"/>
    </row>
    <row r="542" spans="1:34" x14ac:dyDescent="0.25">
      <c r="A542" s="14"/>
      <c r="B542" s="5"/>
      <c r="C542" s="12"/>
      <c r="D542" s="11"/>
      <c r="E542" s="224"/>
      <c r="F542" s="11"/>
      <c r="G542" s="1"/>
      <c r="H542" s="11"/>
      <c r="I542" s="1"/>
      <c r="J542" s="7"/>
      <c r="K542" s="8"/>
      <c r="L542" s="11"/>
      <c r="M542" s="12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  <c r="Z542" s="14"/>
      <c r="AA542" s="14"/>
      <c r="AB542" s="14"/>
      <c r="AC542" s="14"/>
      <c r="AD542" s="14"/>
      <c r="AE542" s="14"/>
      <c r="AF542" s="14"/>
      <c r="AG542" s="14"/>
      <c r="AH542" s="14"/>
    </row>
    <row r="543" spans="1:34" x14ac:dyDescent="0.25">
      <c r="A543" s="14"/>
      <c r="B543" s="5"/>
      <c r="C543" s="12"/>
      <c r="D543" s="11"/>
      <c r="E543" s="224"/>
      <c r="F543" s="11"/>
      <c r="G543" s="1"/>
      <c r="H543" s="11"/>
      <c r="I543" s="1"/>
      <c r="J543" s="7"/>
      <c r="K543" s="8"/>
      <c r="L543" s="11"/>
      <c r="M543" s="12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  <c r="Z543" s="14"/>
      <c r="AA543" s="14"/>
      <c r="AB543" s="14"/>
      <c r="AC543" s="14"/>
      <c r="AD543" s="14"/>
      <c r="AE543" s="14"/>
      <c r="AF543" s="14"/>
      <c r="AG543" s="14"/>
      <c r="AH543" s="14"/>
    </row>
    <row r="544" spans="1:34" x14ac:dyDescent="0.25">
      <c r="A544" s="14"/>
      <c r="B544" s="5"/>
      <c r="C544" s="12"/>
      <c r="D544" s="11"/>
      <c r="E544" s="224"/>
      <c r="F544" s="11"/>
      <c r="G544" s="1"/>
      <c r="H544" s="11"/>
      <c r="I544" s="1"/>
      <c r="J544" s="7"/>
      <c r="K544" s="8"/>
      <c r="L544" s="11"/>
      <c r="M544" s="12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  <c r="Z544" s="14"/>
      <c r="AA544" s="14"/>
      <c r="AB544" s="14"/>
      <c r="AC544" s="14"/>
      <c r="AD544" s="14"/>
      <c r="AE544" s="14"/>
      <c r="AF544" s="14"/>
      <c r="AG544" s="14"/>
      <c r="AH544" s="14"/>
    </row>
    <row r="545" spans="1:34" x14ac:dyDescent="0.25">
      <c r="A545" s="14"/>
      <c r="B545" s="5"/>
      <c r="C545" s="12"/>
      <c r="D545" s="11"/>
      <c r="E545" s="224"/>
      <c r="F545" s="11"/>
      <c r="G545" s="1"/>
      <c r="H545" s="11"/>
      <c r="I545" s="1"/>
      <c r="J545" s="7"/>
      <c r="K545" s="8"/>
      <c r="L545" s="11"/>
      <c r="M545" s="12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  <c r="Z545" s="14"/>
      <c r="AA545" s="14"/>
      <c r="AB545" s="14"/>
      <c r="AC545" s="14"/>
      <c r="AD545" s="14"/>
      <c r="AE545" s="14"/>
      <c r="AF545" s="14"/>
      <c r="AG545" s="14"/>
      <c r="AH545" s="14"/>
    </row>
    <row r="546" spans="1:34" x14ac:dyDescent="0.25">
      <c r="A546" s="14"/>
      <c r="B546" s="5"/>
      <c r="C546" s="12"/>
      <c r="D546" s="11"/>
      <c r="E546" s="224"/>
      <c r="F546" s="11"/>
      <c r="G546" s="1"/>
      <c r="H546" s="11"/>
      <c r="I546" s="1"/>
      <c r="J546" s="7"/>
      <c r="K546" s="8"/>
      <c r="L546" s="11"/>
      <c r="M546" s="12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  <c r="Z546" s="14"/>
      <c r="AA546" s="14"/>
      <c r="AB546" s="14"/>
      <c r="AC546" s="14"/>
      <c r="AD546" s="14"/>
      <c r="AE546" s="14"/>
      <c r="AF546" s="14"/>
      <c r="AG546" s="14"/>
      <c r="AH546" s="14"/>
    </row>
    <row r="547" spans="1:34" x14ac:dyDescent="0.25">
      <c r="A547" s="14"/>
      <c r="B547" s="5"/>
      <c r="C547" s="12"/>
      <c r="D547" s="11"/>
      <c r="E547" s="224"/>
      <c r="F547" s="11"/>
      <c r="G547" s="1"/>
      <c r="H547" s="11"/>
      <c r="I547" s="1"/>
      <c r="J547" s="7"/>
      <c r="K547" s="8"/>
      <c r="L547" s="11"/>
      <c r="M547" s="12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  <c r="Z547" s="14"/>
      <c r="AA547" s="14"/>
      <c r="AB547" s="14"/>
      <c r="AC547" s="14"/>
      <c r="AD547" s="14"/>
      <c r="AE547" s="14"/>
      <c r="AF547" s="14"/>
      <c r="AG547" s="14"/>
      <c r="AH547" s="14"/>
    </row>
    <row r="548" spans="1:34" x14ac:dyDescent="0.25">
      <c r="A548" s="14"/>
      <c r="B548" s="5"/>
      <c r="C548" s="12"/>
      <c r="D548" s="11"/>
      <c r="E548" s="224"/>
      <c r="F548" s="11"/>
      <c r="G548" s="1"/>
      <c r="H548" s="11"/>
      <c r="I548" s="1"/>
      <c r="J548" s="7"/>
      <c r="K548" s="8"/>
      <c r="L548" s="11"/>
      <c r="M548" s="12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  <c r="Z548" s="14"/>
      <c r="AA548" s="14"/>
      <c r="AB548" s="14"/>
      <c r="AC548" s="14"/>
      <c r="AD548" s="14"/>
      <c r="AE548" s="14"/>
      <c r="AF548" s="14"/>
      <c r="AG548" s="14"/>
      <c r="AH548" s="14"/>
    </row>
    <row r="549" spans="1:34" x14ac:dyDescent="0.25">
      <c r="A549" s="14"/>
      <c r="B549" s="5"/>
      <c r="C549" s="12"/>
      <c r="D549" s="11"/>
      <c r="E549" s="224"/>
      <c r="F549" s="11"/>
      <c r="G549" s="1"/>
      <c r="H549" s="11"/>
      <c r="I549" s="1"/>
      <c r="J549" s="7"/>
      <c r="K549" s="8"/>
      <c r="L549" s="11"/>
      <c r="M549" s="12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  <c r="Z549" s="14"/>
      <c r="AA549" s="14"/>
      <c r="AB549" s="14"/>
      <c r="AC549" s="14"/>
      <c r="AD549" s="14"/>
      <c r="AE549" s="14"/>
      <c r="AF549" s="14"/>
      <c r="AG549" s="14"/>
      <c r="AH549" s="14"/>
    </row>
    <row r="550" spans="1:34" x14ac:dyDescent="0.25">
      <c r="A550" s="14"/>
      <c r="B550" s="5"/>
      <c r="C550" s="12"/>
      <c r="D550" s="11"/>
      <c r="E550" s="224"/>
      <c r="F550" s="11"/>
      <c r="G550" s="1"/>
      <c r="H550" s="11"/>
      <c r="I550" s="1"/>
      <c r="J550" s="7"/>
      <c r="K550" s="8"/>
      <c r="L550" s="11"/>
      <c r="M550" s="12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  <c r="Z550" s="14"/>
      <c r="AA550" s="14"/>
      <c r="AB550" s="14"/>
      <c r="AC550" s="14"/>
      <c r="AD550" s="14"/>
      <c r="AE550" s="14"/>
      <c r="AF550" s="14"/>
      <c r="AG550" s="14"/>
      <c r="AH550" s="14"/>
    </row>
    <row r="551" spans="1:34" x14ac:dyDescent="0.25">
      <c r="A551" s="14"/>
      <c r="B551" s="5"/>
      <c r="C551" s="12"/>
      <c r="D551" s="11"/>
      <c r="E551" s="224"/>
      <c r="F551" s="11"/>
      <c r="G551" s="1"/>
      <c r="H551" s="11"/>
      <c r="I551" s="1"/>
      <c r="J551" s="7"/>
      <c r="K551" s="8"/>
      <c r="L551" s="11"/>
      <c r="M551" s="12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  <c r="Z551" s="14"/>
      <c r="AA551" s="14"/>
      <c r="AB551" s="14"/>
      <c r="AC551" s="14"/>
      <c r="AD551" s="14"/>
      <c r="AE551" s="14"/>
      <c r="AF551" s="14"/>
      <c r="AG551" s="14"/>
      <c r="AH551" s="14"/>
    </row>
    <row r="552" spans="1:34" x14ac:dyDescent="0.25">
      <c r="A552" s="14"/>
      <c r="B552" s="5"/>
      <c r="C552" s="12"/>
      <c r="D552" s="11"/>
      <c r="E552" s="224"/>
      <c r="F552" s="11"/>
      <c r="G552" s="1"/>
      <c r="H552" s="11"/>
      <c r="I552" s="1"/>
      <c r="J552" s="7"/>
      <c r="K552" s="8"/>
      <c r="L552" s="11"/>
      <c r="M552" s="12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  <c r="Z552" s="14"/>
      <c r="AA552" s="14"/>
      <c r="AB552" s="14"/>
      <c r="AC552" s="14"/>
      <c r="AD552" s="14"/>
      <c r="AE552" s="14"/>
      <c r="AF552" s="14"/>
      <c r="AG552" s="14"/>
      <c r="AH552" s="14"/>
    </row>
    <row r="553" spans="1:34" x14ac:dyDescent="0.25">
      <c r="A553" s="14"/>
      <c r="B553" s="5"/>
      <c r="C553" s="12"/>
      <c r="D553" s="11"/>
      <c r="E553" s="224"/>
      <c r="F553" s="11"/>
      <c r="G553" s="1"/>
      <c r="H553" s="11"/>
      <c r="I553" s="1"/>
      <c r="J553" s="7"/>
      <c r="K553" s="8"/>
      <c r="L553" s="11"/>
      <c r="M553" s="12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  <c r="Z553" s="14"/>
      <c r="AA553" s="14"/>
      <c r="AB553" s="14"/>
      <c r="AC553" s="14"/>
      <c r="AD553" s="14"/>
      <c r="AE553" s="14"/>
      <c r="AF553" s="14"/>
      <c r="AG553" s="14"/>
      <c r="AH553" s="14"/>
    </row>
    <row r="554" spans="1:34" x14ac:dyDescent="0.25">
      <c r="A554" s="14"/>
      <c r="B554" s="5"/>
      <c r="C554" s="12"/>
      <c r="D554" s="11"/>
      <c r="E554" s="224"/>
      <c r="F554" s="11"/>
      <c r="G554" s="1"/>
      <c r="H554" s="11"/>
      <c r="I554" s="1"/>
      <c r="J554" s="7"/>
      <c r="K554" s="8"/>
      <c r="L554" s="11"/>
      <c r="M554" s="12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  <c r="Z554" s="14"/>
      <c r="AA554" s="14"/>
      <c r="AB554" s="14"/>
      <c r="AC554" s="14"/>
      <c r="AD554" s="14"/>
      <c r="AE554" s="14"/>
      <c r="AF554" s="14"/>
      <c r="AG554" s="14"/>
      <c r="AH554" s="14"/>
    </row>
    <row r="555" spans="1:34" x14ac:dyDescent="0.25">
      <c r="A555" s="14"/>
      <c r="B555" s="5"/>
      <c r="C555" s="12"/>
      <c r="D555" s="11"/>
      <c r="E555" s="224"/>
      <c r="F555" s="11"/>
      <c r="G555" s="1"/>
      <c r="H555" s="11"/>
      <c r="I555" s="1"/>
      <c r="J555" s="7"/>
      <c r="K555" s="8"/>
      <c r="L555" s="11"/>
      <c r="M555" s="12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  <c r="Z555" s="14"/>
      <c r="AA555" s="14"/>
      <c r="AB555" s="14"/>
      <c r="AC555" s="14"/>
      <c r="AD555" s="14"/>
      <c r="AE555" s="14"/>
      <c r="AF555" s="14"/>
      <c r="AG555" s="14"/>
      <c r="AH555" s="14"/>
    </row>
    <row r="556" spans="1:34" x14ac:dyDescent="0.25">
      <c r="A556" s="14"/>
      <c r="B556" s="5"/>
      <c r="C556" s="12"/>
      <c r="D556" s="11"/>
      <c r="E556" s="224"/>
      <c r="F556" s="11"/>
      <c r="G556" s="1"/>
      <c r="H556" s="11"/>
      <c r="I556" s="1"/>
      <c r="J556" s="7"/>
      <c r="K556" s="8"/>
      <c r="L556" s="11"/>
      <c r="M556" s="12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  <c r="Z556" s="14"/>
      <c r="AA556" s="14"/>
      <c r="AB556" s="14"/>
      <c r="AC556" s="14"/>
      <c r="AD556" s="14"/>
      <c r="AE556" s="14"/>
      <c r="AF556" s="14"/>
      <c r="AG556" s="14"/>
      <c r="AH556" s="14"/>
    </row>
    <row r="557" spans="1:34" x14ac:dyDescent="0.25">
      <c r="A557" s="14"/>
      <c r="B557" s="5"/>
      <c r="C557" s="12"/>
      <c r="D557" s="11"/>
      <c r="E557" s="224"/>
      <c r="F557" s="11"/>
      <c r="G557" s="1"/>
      <c r="H557" s="11"/>
      <c r="I557" s="1"/>
      <c r="J557" s="7"/>
      <c r="K557" s="8"/>
      <c r="L557" s="11"/>
      <c r="M557" s="12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  <c r="Z557" s="14"/>
      <c r="AA557" s="14"/>
      <c r="AB557" s="14"/>
      <c r="AC557" s="14"/>
      <c r="AD557" s="14"/>
      <c r="AE557" s="14"/>
      <c r="AF557" s="14"/>
      <c r="AG557" s="14"/>
      <c r="AH557" s="14"/>
    </row>
    <row r="558" spans="1:34" x14ac:dyDescent="0.25">
      <c r="A558" s="14"/>
      <c r="B558" s="5"/>
      <c r="C558" s="12"/>
      <c r="D558" s="11"/>
      <c r="E558" s="224"/>
      <c r="F558" s="11"/>
      <c r="G558" s="1"/>
      <c r="H558" s="11"/>
      <c r="I558" s="1"/>
      <c r="J558" s="7"/>
      <c r="K558" s="8"/>
      <c r="L558" s="11"/>
      <c r="M558" s="12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  <c r="Z558" s="14"/>
      <c r="AA558" s="14"/>
      <c r="AB558" s="14"/>
      <c r="AC558" s="14"/>
      <c r="AD558" s="14"/>
      <c r="AE558" s="14"/>
      <c r="AF558" s="14"/>
      <c r="AG558" s="14"/>
      <c r="AH558" s="14"/>
    </row>
    <row r="559" spans="1:34" x14ac:dyDescent="0.25">
      <c r="A559" s="14"/>
      <c r="B559" s="5"/>
      <c r="C559" s="12"/>
      <c r="D559" s="11"/>
      <c r="E559" s="224"/>
      <c r="F559" s="11"/>
      <c r="G559" s="1"/>
      <c r="H559" s="11"/>
      <c r="I559" s="1"/>
      <c r="J559" s="7"/>
      <c r="K559" s="8"/>
      <c r="L559" s="11"/>
      <c r="M559" s="12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  <c r="Z559" s="14"/>
      <c r="AA559" s="14"/>
      <c r="AB559" s="14"/>
      <c r="AC559" s="14"/>
      <c r="AD559" s="14"/>
      <c r="AE559" s="14"/>
      <c r="AF559" s="14"/>
      <c r="AG559" s="14"/>
      <c r="AH559" s="14"/>
    </row>
    <row r="560" spans="1:34" x14ac:dyDescent="0.25">
      <c r="A560" s="14"/>
      <c r="B560" s="5"/>
      <c r="C560" s="12"/>
      <c r="D560" s="11"/>
      <c r="E560" s="224"/>
      <c r="F560" s="11"/>
      <c r="G560" s="1"/>
      <c r="H560" s="11"/>
      <c r="I560" s="1"/>
      <c r="J560" s="7"/>
      <c r="K560" s="8"/>
      <c r="L560" s="11"/>
      <c r="M560" s="12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  <c r="Z560" s="14"/>
      <c r="AA560" s="14"/>
      <c r="AB560" s="14"/>
      <c r="AC560" s="14"/>
      <c r="AD560" s="14"/>
      <c r="AE560" s="14"/>
      <c r="AF560" s="14"/>
      <c r="AG560" s="14"/>
      <c r="AH560" s="14"/>
    </row>
    <row r="561" spans="1:34" x14ac:dyDescent="0.25">
      <c r="A561" s="14"/>
      <c r="B561" s="5"/>
      <c r="C561" s="12"/>
      <c r="D561" s="11"/>
      <c r="E561" s="224"/>
      <c r="F561" s="11"/>
      <c r="G561" s="1"/>
      <c r="H561" s="11"/>
      <c r="I561" s="1"/>
      <c r="J561" s="7"/>
      <c r="K561" s="8"/>
      <c r="L561" s="11"/>
      <c r="M561" s="12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  <c r="Z561" s="14"/>
      <c r="AA561" s="14"/>
      <c r="AB561" s="14"/>
      <c r="AC561" s="14"/>
      <c r="AD561" s="14"/>
      <c r="AE561" s="14"/>
      <c r="AF561" s="14"/>
      <c r="AG561" s="14"/>
      <c r="AH561" s="14"/>
    </row>
    <row r="562" spans="1:34" x14ac:dyDescent="0.25">
      <c r="A562" s="14"/>
      <c r="B562" s="5"/>
      <c r="C562" s="12"/>
      <c r="D562" s="11"/>
      <c r="E562" s="224"/>
      <c r="F562" s="11"/>
      <c r="G562" s="1"/>
      <c r="H562" s="11"/>
      <c r="I562" s="1"/>
      <c r="J562" s="7"/>
      <c r="K562" s="8"/>
      <c r="L562" s="11"/>
      <c r="M562" s="12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  <c r="Z562" s="14"/>
      <c r="AA562" s="14"/>
      <c r="AB562" s="14"/>
      <c r="AC562" s="14"/>
      <c r="AD562" s="14"/>
      <c r="AE562" s="14"/>
      <c r="AF562" s="14"/>
      <c r="AG562" s="14"/>
      <c r="AH562" s="14"/>
    </row>
    <row r="563" spans="1:34" x14ac:dyDescent="0.25">
      <c r="A563" s="14"/>
      <c r="B563" s="5"/>
      <c r="C563" s="12"/>
      <c r="D563" s="11"/>
      <c r="E563" s="224"/>
      <c r="F563" s="11"/>
      <c r="G563" s="1"/>
      <c r="H563" s="11"/>
      <c r="I563" s="1"/>
      <c r="J563" s="7"/>
      <c r="K563" s="8"/>
      <c r="L563" s="11"/>
      <c r="M563" s="12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  <c r="Z563" s="14"/>
      <c r="AA563" s="14"/>
      <c r="AB563" s="14"/>
      <c r="AC563" s="14"/>
      <c r="AD563" s="14"/>
      <c r="AE563" s="14"/>
      <c r="AF563" s="14"/>
      <c r="AG563" s="14"/>
      <c r="AH563" s="14"/>
    </row>
    <row r="564" spans="1:34" x14ac:dyDescent="0.25">
      <c r="A564" s="14"/>
      <c r="B564" s="5"/>
      <c r="C564" s="12"/>
      <c r="D564" s="11"/>
      <c r="E564" s="224"/>
      <c r="F564" s="11"/>
      <c r="G564" s="1"/>
      <c r="H564" s="11"/>
      <c r="I564" s="1"/>
      <c r="J564" s="7"/>
      <c r="K564" s="8"/>
      <c r="L564" s="11"/>
      <c r="M564" s="12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  <c r="Z564" s="14"/>
      <c r="AA564" s="14"/>
      <c r="AB564" s="14"/>
      <c r="AC564" s="14"/>
      <c r="AD564" s="14"/>
      <c r="AE564" s="14"/>
      <c r="AF564" s="14"/>
      <c r="AG564" s="14"/>
      <c r="AH564" s="14"/>
    </row>
    <row r="565" spans="1:34" x14ac:dyDescent="0.25">
      <c r="A565" s="14"/>
      <c r="B565" s="5"/>
      <c r="C565" s="12"/>
      <c r="D565" s="11"/>
      <c r="E565" s="224"/>
      <c r="F565" s="11"/>
      <c r="G565" s="1"/>
      <c r="H565" s="11"/>
      <c r="I565" s="1"/>
      <c r="J565" s="7"/>
      <c r="K565" s="8"/>
      <c r="L565" s="11"/>
      <c r="M565" s="12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  <c r="Z565" s="14"/>
      <c r="AA565" s="14"/>
      <c r="AB565" s="14"/>
      <c r="AC565" s="14"/>
      <c r="AD565" s="14"/>
      <c r="AE565" s="14"/>
      <c r="AF565" s="14"/>
      <c r="AG565" s="14"/>
      <c r="AH565" s="14"/>
    </row>
    <row r="566" spans="1:34" x14ac:dyDescent="0.25">
      <c r="A566" s="14"/>
      <c r="B566" s="5"/>
      <c r="C566" s="12"/>
      <c r="D566" s="11"/>
      <c r="E566" s="224"/>
      <c r="F566" s="11"/>
      <c r="G566" s="1"/>
      <c r="H566" s="11"/>
      <c r="I566" s="1"/>
      <c r="J566" s="7"/>
      <c r="K566" s="8"/>
      <c r="L566" s="11"/>
      <c r="M566" s="12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  <c r="Z566" s="14"/>
      <c r="AA566" s="14"/>
      <c r="AB566" s="14"/>
      <c r="AC566" s="14"/>
      <c r="AD566" s="14"/>
      <c r="AE566" s="14"/>
      <c r="AF566" s="14"/>
      <c r="AG566" s="14"/>
      <c r="AH566" s="14"/>
    </row>
    <row r="567" spans="1:34" x14ac:dyDescent="0.25">
      <c r="A567" s="14"/>
      <c r="B567" s="5"/>
      <c r="C567" s="12"/>
      <c r="D567" s="11"/>
      <c r="E567" s="224"/>
      <c r="F567" s="11"/>
      <c r="G567" s="1"/>
      <c r="H567" s="11"/>
      <c r="I567" s="1"/>
      <c r="J567" s="7"/>
      <c r="K567" s="8"/>
      <c r="L567" s="11"/>
      <c r="M567" s="12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  <c r="Z567" s="14"/>
      <c r="AA567" s="14"/>
      <c r="AB567" s="14"/>
      <c r="AC567" s="14"/>
      <c r="AD567" s="14"/>
      <c r="AE567" s="14"/>
      <c r="AF567" s="14"/>
      <c r="AG567" s="14"/>
      <c r="AH567" s="14"/>
    </row>
    <row r="568" spans="1:34" x14ac:dyDescent="0.25">
      <c r="A568" s="14"/>
      <c r="B568" s="5"/>
      <c r="C568" s="12"/>
      <c r="D568" s="11"/>
      <c r="E568" s="224"/>
      <c r="F568" s="11"/>
      <c r="G568" s="1"/>
      <c r="H568" s="11"/>
      <c r="I568" s="1"/>
      <c r="J568" s="7"/>
      <c r="K568" s="8"/>
      <c r="L568" s="11"/>
      <c r="M568" s="12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  <c r="Z568" s="14"/>
      <c r="AA568" s="14"/>
      <c r="AB568" s="14"/>
      <c r="AC568" s="14"/>
      <c r="AD568" s="14"/>
      <c r="AE568" s="14"/>
      <c r="AF568" s="14"/>
      <c r="AG568" s="14"/>
      <c r="AH568" s="14"/>
    </row>
    <row r="569" spans="1:34" x14ac:dyDescent="0.25">
      <c r="A569" s="14"/>
      <c r="B569" s="5"/>
      <c r="C569" s="12"/>
      <c r="D569" s="11"/>
      <c r="E569" s="224"/>
      <c r="F569" s="11"/>
      <c r="G569" s="1"/>
      <c r="H569" s="11"/>
      <c r="I569" s="1"/>
      <c r="J569" s="7"/>
      <c r="K569" s="8"/>
      <c r="L569" s="11"/>
      <c r="M569" s="12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  <c r="Z569" s="14"/>
      <c r="AA569" s="14"/>
      <c r="AB569" s="14"/>
      <c r="AC569" s="14"/>
      <c r="AD569" s="14"/>
      <c r="AE569" s="14"/>
      <c r="AF569" s="14"/>
      <c r="AG569" s="14"/>
      <c r="AH569" s="14"/>
    </row>
    <row r="570" spans="1:34" x14ac:dyDescent="0.25">
      <c r="A570" s="14"/>
      <c r="B570" s="5"/>
      <c r="C570" s="12"/>
      <c r="D570" s="11"/>
      <c r="E570" s="224"/>
      <c r="F570" s="11"/>
      <c r="G570" s="1"/>
      <c r="H570" s="11"/>
      <c r="I570" s="1"/>
      <c r="J570" s="7"/>
      <c r="K570" s="8"/>
      <c r="L570" s="11"/>
      <c r="M570" s="12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  <c r="Z570" s="14"/>
      <c r="AA570" s="14"/>
      <c r="AB570" s="14"/>
      <c r="AC570" s="14"/>
      <c r="AD570" s="14"/>
      <c r="AE570" s="14"/>
      <c r="AF570" s="14"/>
      <c r="AG570" s="14"/>
      <c r="AH570" s="14"/>
    </row>
    <row r="571" spans="1:34" x14ac:dyDescent="0.25">
      <c r="A571" s="14"/>
      <c r="B571" s="5"/>
      <c r="C571" s="12"/>
      <c r="D571" s="11"/>
      <c r="E571" s="224"/>
      <c r="F571" s="11"/>
      <c r="G571" s="1"/>
      <c r="H571" s="11"/>
      <c r="I571" s="1"/>
      <c r="J571" s="7"/>
      <c r="K571" s="8"/>
      <c r="L571" s="11"/>
      <c r="M571" s="12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  <c r="Z571" s="14"/>
      <c r="AA571" s="14"/>
      <c r="AB571" s="14"/>
      <c r="AC571" s="14"/>
      <c r="AD571" s="14"/>
      <c r="AE571" s="14"/>
      <c r="AF571" s="14"/>
      <c r="AG571" s="14"/>
      <c r="AH571" s="14"/>
    </row>
    <row r="572" spans="1:34" x14ac:dyDescent="0.25">
      <c r="A572" s="14"/>
      <c r="B572" s="5"/>
      <c r="C572" s="12"/>
      <c r="D572" s="11"/>
      <c r="E572" s="224"/>
      <c r="F572" s="11"/>
      <c r="G572" s="1"/>
      <c r="H572" s="11"/>
      <c r="I572" s="1"/>
      <c r="J572" s="7"/>
      <c r="K572" s="8"/>
      <c r="L572" s="11"/>
      <c r="M572" s="12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  <c r="Z572" s="14"/>
      <c r="AA572" s="14"/>
      <c r="AB572" s="14"/>
      <c r="AC572" s="14"/>
      <c r="AD572" s="14"/>
      <c r="AE572" s="14"/>
      <c r="AF572" s="14"/>
      <c r="AG572" s="14"/>
      <c r="AH572" s="14"/>
    </row>
    <row r="573" spans="1:34" x14ac:dyDescent="0.25">
      <c r="A573" s="14"/>
      <c r="B573" s="5"/>
      <c r="C573" s="12"/>
      <c r="D573" s="11"/>
      <c r="E573" s="224"/>
      <c r="F573" s="11"/>
      <c r="G573" s="1"/>
      <c r="H573" s="11"/>
      <c r="I573" s="1"/>
      <c r="J573" s="7"/>
      <c r="K573" s="8"/>
      <c r="L573" s="11"/>
      <c r="M573" s="12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  <c r="Z573" s="14"/>
      <c r="AA573" s="14"/>
      <c r="AB573" s="14"/>
      <c r="AC573" s="14"/>
      <c r="AD573" s="14"/>
      <c r="AE573" s="14"/>
      <c r="AF573" s="14"/>
      <c r="AG573" s="14"/>
      <c r="AH573" s="14"/>
    </row>
    <row r="574" spans="1:34" x14ac:dyDescent="0.25">
      <c r="A574" s="14"/>
      <c r="B574" s="5"/>
      <c r="C574" s="12"/>
      <c r="D574" s="11"/>
      <c r="E574" s="224"/>
      <c r="F574" s="11"/>
      <c r="G574" s="1"/>
      <c r="H574" s="11"/>
      <c r="I574" s="1"/>
      <c r="J574" s="7"/>
      <c r="K574" s="8"/>
      <c r="L574" s="11"/>
      <c r="M574" s="12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  <c r="Z574" s="14"/>
      <c r="AA574" s="14"/>
      <c r="AB574" s="14"/>
      <c r="AC574" s="14"/>
      <c r="AD574" s="14"/>
      <c r="AE574" s="14"/>
      <c r="AF574" s="14"/>
      <c r="AG574" s="14"/>
      <c r="AH574" s="14"/>
    </row>
    <row r="575" spans="1:34" x14ac:dyDescent="0.25">
      <c r="A575" s="14"/>
      <c r="B575" s="5"/>
      <c r="C575" s="12"/>
      <c r="D575" s="11"/>
      <c r="E575" s="224"/>
      <c r="F575" s="11"/>
      <c r="G575" s="1"/>
      <c r="H575" s="11"/>
      <c r="I575" s="1"/>
      <c r="J575" s="7"/>
      <c r="K575" s="8"/>
      <c r="L575" s="11"/>
      <c r="M575" s="12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  <c r="Z575" s="14"/>
      <c r="AA575" s="14"/>
      <c r="AB575" s="14"/>
      <c r="AC575" s="14"/>
      <c r="AD575" s="14"/>
      <c r="AE575" s="14"/>
      <c r="AF575" s="14"/>
      <c r="AG575" s="14"/>
      <c r="AH575" s="14"/>
    </row>
    <row r="576" spans="1:34" x14ac:dyDescent="0.25">
      <c r="A576" s="14"/>
      <c r="B576" s="5"/>
      <c r="C576" s="12"/>
      <c r="D576" s="11"/>
      <c r="E576" s="224"/>
      <c r="F576" s="11"/>
      <c r="G576" s="1"/>
      <c r="H576" s="11"/>
      <c r="I576" s="1"/>
      <c r="J576" s="7"/>
      <c r="K576" s="8"/>
      <c r="L576" s="11"/>
      <c r="M576" s="12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  <c r="Z576" s="14"/>
      <c r="AA576" s="14"/>
      <c r="AB576" s="14"/>
      <c r="AC576" s="14"/>
      <c r="AD576" s="14"/>
      <c r="AE576" s="14"/>
      <c r="AF576" s="14"/>
      <c r="AG576" s="14"/>
      <c r="AH576" s="14"/>
    </row>
    <row r="577" spans="1:34" x14ac:dyDescent="0.25">
      <c r="A577" s="14"/>
      <c r="B577" s="5"/>
      <c r="C577" s="12"/>
      <c r="D577" s="11"/>
      <c r="E577" s="224"/>
      <c r="F577" s="11"/>
      <c r="G577" s="1"/>
      <c r="H577" s="11"/>
      <c r="I577" s="1"/>
      <c r="J577" s="7"/>
      <c r="K577" s="8"/>
      <c r="L577" s="11"/>
      <c r="M577" s="12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  <c r="Z577" s="14"/>
      <c r="AA577" s="14"/>
      <c r="AB577" s="14"/>
      <c r="AC577" s="14"/>
      <c r="AD577" s="14"/>
      <c r="AE577" s="14"/>
      <c r="AF577" s="14"/>
      <c r="AG577" s="14"/>
      <c r="AH577" s="14"/>
    </row>
    <row r="578" spans="1:34" x14ac:dyDescent="0.25">
      <c r="A578" s="14"/>
      <c r="B578" s="5"/>
      <c r="C578" s="12"/>
      <c r="D578" s="11"/>
      <c r="E578" s="224"/>
      <c r="F578" s="11"/>
      <c r="G578" s="1"/>
      <c r="H578" s="11"/>
      <c r="I578" s="1"/>
      <c r="J578" s="7"/>
      <c r="K578" s="8"/>
      <c r="L578" s="11"/>
      <c r="M578" s="12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  <c r="Z578" s="14"/>
      <c r="AA578" s="14"/>
      <c r="AB578" s="14"/>
      <c r="AC578" s="14"/>
      <c r="AD578" s="14"/>
      <c r="AE578" s="14"/>
      <c r="AF578" s="14"/>
      <c r="AG578" s="14"/>
      <c r="AH578" s="14"/>
    </row>
    <row r="579" spans="1:34" x14ac:dyDescent="0.25">
      <c r="A579" s="14"/>
      <c r="B579" s="5"/>
      <c r="C579" s="12"/>
      <c r="D579" s="11"/>
      <c r="E579" s="224"/>
      <c r="F579" s="11"/>
      <c r="G579" s="1"/>
      <c r="H579" s="11"/>
      <c r="I579" s="1"/>
      <c r="J579" s="7"/>
      <c r="K579" s="8"/>
      <c r="L579" s="11"/>
      <c r="M579" s="12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  <c r="Z579" s="14"/>
      <c r="AA579" s="14"/>
      <c r="AB579" s="14"/>
      <c r="AC579" s="14"/>
      <c r="AD579" s="14"/>
      <c r="AE579" s="14"/>
      <c r="AF579" s="14"/>
      <c r="AG579" s="14"/>
      <c r="AH579" s="14"/>
    </row>
    <row r="580" spans="1:34" x14ac:dyDescent="0.25">
      <c r="A580" s="14"/>
      <c r="B580" s="5"/>
      <c r="C580" s="12"/>
      <c r="D580" s="11"/>
      <c r="E580" s="224"/>
      <c r="F580" s="11"/>
      <c r="G580" s="1"/>
      <c r="H580" s="11"/>
      <c r="I580" s="1"/>
      <c r="J580" s="7"/>
      <c r="K580" s="8"/>
      <c r="L580" s="11"/>
      <c r="M580" s="12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  <c r="Z580" s="14"/>
      <c r="AA580" s="14"/>
      <c r="AB580" s="14"/>
      <c r="AC580" s="14"/>
      <c r="AD580" s="14"/>
      <c r="AE580" s="14"/>
      <c r="AF580" s="14"/>
      <c r="AG580" s="14"/>
      <c r="AH580" s="14"/>
    </row>
    <row r="581" spans="1:34" x14ac:dyDescent="0.25">
      <c r="A581" s="14"/>
      <c r="B581" s="5"/>
      <c r="C581" s="12"/>
      <c r="D581" s="11"/>
      <c r="E581" s="224"/>
      <c r="F581" s="11"/>
      <c r="G581" s="1"/>
      <c r="H581" s="11"/>
      <c r="I581" s="1"/>
      <c r="J581" s="7"/>
      <c r="K581" s="8"/>
      <c r="L581" s="11"/>
      <c r="M581" s="12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  <c r="Z581" s="14"/>
      <c r="AA581" s="14"/>
      <c r="AB581" s="14"/>
      <c r="AC581" s="14"/>
      <c r="AD581" s="14"/>
      <c r="AE581" s="14"/>
      <c r="AF581" s="14"/>
      <c r="AG581" s="14"/>
      <c r="AH581" s="14"/>
    </row>
    <row r="582" spans="1:34" x14ac:dyDescent="0.25">
      <c r="A582" s="14"/>
      <c r="B582" s="5"/>
      <c r="C582" s="12"/>
      <c r="D582" s="11"/>
      <c r="E582" s="224"/>
      <c r="F582" s="11"/>
      <c r="G582" s="1"/>
      <c r="H582" s="11"/>
      <c r="I582" s="1"/>
      <c r="J582" s="7"/>
      <c r="K582" s="8"/>
      <c r="L582" s="11"/>
      <c r="M582" s="12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  <c r="Z582" s="14"/>
      <c r="AA582" s="14"/>
      <c r="AB582" s="14"/>
      <c r="AC582" s="14"/>
      <c r="AD582" s="14"/>
      <c r="AE582" s="14"/>
      <c r="AF582" s="14"/>
      <c r="AG582" s="14"/>
      <c r="AH582" s="14"/>
    </row>
    <row r="583" spans="1:34" x14ac:dyDescent="0.25">
      <c r="A583" s="14"/>
      <c r="B583" s="5"/>
      <c r="C583" s="12"/>
      <c r="D583" s="11"/>
      <c r="E583" s="224"/>
      <c r="F583" s="11"/>
      <c r="G583" s="1"/>
      <c r="H583" s="11"/>
      <c r="I583" s="1"/>
      <c r="J583" s="7"/>
      <c r="K583" s="8"/>
      <c r="L583" s="11"/>
      <c r="M583" s="12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  <c r="Z583" s="14"/>
      <c r="AA583" s="14"/>
      <c r="AB583" s="14"/>
      <c r="AC583" s="14"/>
      <c r="AD583" s="14"/>
      <c r="AE583" s="14"/>
      <c r="AF583" s="14"/>
      <c r="AG583" s="14"/>
      <c r="AH583" s="14"/>
    </row>
    <row r="584" spans="1:34" x14ac:dyDescent="0.25">
      <c r="A584" s="14"/>
      <c r="B584" s="5"/>
      <c r="C584" s="12"/>
      <c r="D584" s="11"/>
      <c r="E584" s="224"/>
      <c r="F584" s="11"/>
      <c r="G584" s="1"/>
      <c r="H584" s="11"/>
      <c r="I584" s="1"/>
      <c r="J584" s="7"/>
      <c r="K584" s="8"/>
      <c r="L584" s="11"/>
      <c r="M584" s="12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  <c r="Z584" s="14"/>
      <c r="AA584" s="14"/>
      <c r="AB584" s="14"/>
      <c r="AC584" s="14"/>
      <c r="AD584" s="14"/>
      <c r="AE584" s="14"/>
      <c r="AF584" s="14"/>
      <c r="AG584" s="14"/>
      <c r="AH584" s="14"/>
    </row>
    <row r="585" spans="1:34" x14ac:dyDescent="0.25">
      <c r="A585" s="14"/>
      <c r="B585" s="5"/>
      <c r="C585" s="12"/>
      <c r="D585" s="11"/>
      <c r="E585" s="224"/>
      <c r="F585" s="11"/>
      <c r="G585" s="1"/>
      <c r="H585" s="11"/>
      <c r="I585" s="1"/>
      <c r="J585" s="7"/>
      <c r="K585" s="8"/>
      <c r="L585" s="11"/>
      <c r="M585" s="12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  <c r="Z585" s="14"/>
      <c r="AA585" s="14"/>
      <c r="AB585" s="14"/>
      <c r="AC585" s="14"/>
      <c r="AD585" s="14"/>
      <c r="AE585" s="14"/>
      <c r="AF585" s="14"/>
      <c r="AG585" s="14"/>
      <c r="AH585" s="14"/>
    </row>
    <row r="586" spans="1:34" x14ac:dyDescent="0.25">
      <c r="A586" s="14"/>
      <c r="B586" s="5"/>
      <c r="C586" s="12"/>
      <c r="D586" s="11"/>
      <c r="E586" s="224"/>
      <c r="F586" s="11"/>
      <c r="G586" s="1"/>
      <c r="H586" s="11"/>
      <c r="I586" s="1"/>
      <c r="J586" s="7"/>
      <c r="K586" s="8"/>
      <c r="L586" s="11"/>
      <c r="M586" s="12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  <c r="Z586" s="14"/>
      <c r="AA586" s="14"/>
      <c r="AB586" s="14"/>
      <c r="AC586" s="14"/>
      <c r="AD586" s="14"/>
      <c r="AE586" s="14"/>
      <c r="AF586" s="14"/>
      <c r="AG586" s="14"/>
      <c r="AH586" s="14"/>
    </row>
    <row r="587" spans="1:34" x14ac:dyDescent="0.25">
      <c r="A587" s="14"/>
      <c r="B587" s="5"/>
      <c r="C587" s="12"/>
      <c r="D587" s="11"/>
      <c r="E587" s="224"/>
      <c r="F587" s="11"/>
      <c r="G587" s="1"/>
      <c r="H587" s="11"/>
      <c r="I587" s="1"/>
      <c r="J587" s="7"/>
      <c r="K587" s="8"/>
      <c r="L587" s="11"/>
      <c r="M587" s="12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  <c r="Z587" s="14"/>
      <c r="AA587" s="14"/>
      <c r="AB587" s="14"/>
      <c r="AC587" s="14"/>
      <c r="AD587" s="14"/>
      <c r="AE587" s="14"/>
      <c r="AF587" s="14"/>
      <c r="AG587" s="14"/>
      <c r="AH587" s="14"/>
    </row>
    <row r="588" spans="1:34" x14ac:dyDescent="0.25">
      <c r="A588" s="14"/>
      <c r="B588" s="5"/>
      <c r="C588" s="12"/>
      <c r="D588" s="11"/>
      <c r="E588" s="224"/>
      <c r="F588" s="11"/>
      <c r="G588" s="1"/>
      <c r="H588" s="11"/>
      <c r="I588" s="1"/>
      <c r="J588" s="7"/>
      <c r="K588" s="8"/>
      <c r="L588" s="11"/>
      <c r="M588" s="12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  <c r="Z588" s="14"/>
      <c r="AA588" s="14"/>
      <c r="AB588" s="14"/>
      <c r="AC588" s="14"/>
      <c r="AD588" s="14"/>
      <c r="AE588" s="14"/>
      <c r="AF588" s="14"/>
      <c r="AG588" s="14"/>
      <c r="AH588" s="14"/>
    </row>
    <row r="589" spans="1:34" x14ac:dyDescent="0.25">
      <c r="A589" s="14"/>
      <c r="B589" s="5"/>
      <c r="C589" s="12"/>
      <c r="D589" s="11"/>
      <c r="E589" s="224"/>
      <c r="F589" s="11"/>
      <c r="G589" s="1"/>
      <c r="H589" s="11"/>
      <c r="I589" s="1"/>
      <c r="J589" s="7"/>
      <c r="K589" s="8"/>
      <c r="L589" s="11"/>
      <c r="M589" s="12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  <c r="Z589" s="14"/>
      <c r="AA589" s="14"/>
      <c r="AB589" s="14"/>
      <c r="AC589" s="14"/>
      <c r="AD589" s="14"/>
      <c r="AE589" s="14"/>
      <c r="AF589" s="14"/>
      <c r="AG589" s="14"/>
      <c r="AH589" s="14"/>
    </row>
    <row r="590" spans="1:34" x14ac:dyDescent="0.25">
      <c r="A590" s="14"/>
      <c r="B590" s="5"/>
      <c r="C590" s="12"/>
      <c r="D590" s="11"/>
      <c r="E590" s="224"/>
      <c r="F590" s="11"/>
      <c r="G590" s="1"/>
      <c r="H590" s="11"/>
      <c r="I590" s="1"/>
      <c r="J590" s="7"/>
      <c r="K590" s="8"/>
      <c r="L590" s="11"/>
      <c r="M590" s="12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  <c r="Z590" s="14"/>
      <c r="AA590" s="14"/>
      <c r="AB590" s="14"/>
      <c r="AC590" s="14"/>
      <c r="AD590" s="14"/>
      <c r="AE590" s="14"/>
      <c r="AF590" s="14"/>
      <c r="AG590" s="14"/>
      <c r="AH590" s="14"/>
    </row>
    <row r="591" spans="1:34" x14ac:dyDescent="0.25">
      <c r="A591" s="14"/>
      <c r="B591" s="5"/>
      <c r="C591" s="12"/>
      <c r="D591" s="11"/>
      <c r="E591" s="224"/>
      <c r="F591" s="11"/>
      <c r="G591" s="1"/>
      <c r="H591" s="11"/>
      <c r="I591" s="1"/>
      <c r="J591" s="7"/>
      <c r="K591" s="8"/>
      <c r="L591" s="11"/>
      <c r="M591" s="12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  <c r="Z591" s="14"/>
      <c r="AA591" s="14"/>
      <c r="AB591" s="14"/>
      <c r="AC591" s="14"/>
      <c r="AD591" s="14"/>
      <c r="AE591" s="14"/>
      <c r="AF591" s="14"/>
      <c r="AG591" s="14"/>
      <c r="AH591" s="14"/>
    </row>
    <row r="592" spans="1:34" x14ac:dyDescent="0.25">
      <c r="A592" s="14"/>
      <c r="B592" s="5"/>
      <c r="C592" s="12"/>
      <c r="D592" s="11"/>
      <c r="E592" s="224"/>
      <c r="F592" s="11"/>
      <c r="G592" s="1"/>
      <c r="H592" s="11"/>
      <c r="I592" s="1"/>
      <c r="J592" s="7"/>
      <c r="K592" s="8"/>
      <c r="L592" s="11"/>
      <c r="M592" s="12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  <c r="Z592" s="14"/>
      <c r="AA592" s="14"/>
      <c r="AB592" s="14"/>
      <c r="AC592" s="14"/>
      <c r="AD592" s="14"/>
      <c r="AE592" s="14"/>
      <c r="AF592" s="14"/>
      <c r="AG592" s="14"/>
      <c r="AH592" s="14"/>
    </row>
    <row r="593" spans="1:34" x14ac:dyDescent="0.25">
      <c r="A593" s="14"/>
      <c r="B593" s="5"/>
      <c r="C593" s="12"/>
      <c r="D593" s="11"/>
      <c r="E593" s="224"/>
      <c r="F593" s="11"/>
      <c r="G593" s="1"/>
      <c r="H593" s="11"/>
      <c r="I593" s="1"/>
      <c r="J593" s="7"/>
      <c r="K593" s="8"/>
      <c r="L593" s="11"/>
      <c r="M593" s="12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  <c r="Z593" s="14"/>
      <c r="AA593" s="14"/>
      <c r="AB593" s="14"/>
      <c r="AC593" s="14"/>
      <c r="AD593" s="14"/>
      <c r="AE593" s="14"/>
      <c r="AF593" s="14"/>
      <c r="AG593" s="14"/>
      <c r="AH593" s="14"/>
    </row>
    <row r="594" spans="1:34" x14ac:dyDescent="0.25">
      <c r="A594" s="14"/>
      <c r="B594" s="5"/>
      <c r="C594" s="12"/>
      <c r="D594" s="11"/>
      <c r="E594" s="224"/>
      <c r="F594" s="11"/>
      <c r="G594" s="1"/>
      <c r="H594" s="11"/>
      <c r="I594" s="1"/>
      <c r="J594" s="7"/>
      <c r="K594" s="8"/>
      <c r="L594" s="11"/>
      <c r="M594" s="12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  <c r="Z594" s="14"/>
      <c r="AA594" s="14"/>
      <c r="AB594" s="14"/>
      <c r="AC594" s="14"/>
      <c r="AD594" s="14"/>
      <c r="AE594" s="14"/>
      <c r="AF594" s="14"/>
      <c r="AG594" s="14"/>
      <c r="AH594" s="14"/>
    </row>
    <row r="595" spans="1:34" x14ac:dyDescent="0.25">
      <c r="A595" s="14"/>
      <c r="B595" s="5"/>
      <c r="C595" s="12"/>
      <c r="D595" s="11"/>
      <c r="E595" s="224"/>
      <c r="F595" s="11"/>
      <c r="G595" s="1"/>
      <c r="H595" s="11"/>
      <c r="I595" s="1"/>
      <c r="J595" s="7"/>
      <c r="K595" s="8"/>
      <c r="L595" s="11"/>
      <c r="M595" s="12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  <c r="Z595" s="14"/>
      <c r="AA595" s="14"/>
      <c r="AB595" s="14"/>
      <c r="AC595" s="14"/>
      <c r="AD595" s="14"/>
      <c r="AE595" s="14"/>
      <c r="AF595" s="14"/>
      <c r="AG595" s="14"/>
      <c r="AH595" s="14"/>
    </row>
    <row r="596" spans="1:34" x14ac:dyDescent="0.25">
      <c r="A596" s="14"/>
      <c r="B596" s="5"/>
      <c r="C596" s="12"/>
      <c r="D596" s="11"/>
      <c r="E596" s="224"/>
      <c r="F596" s="11"/>
      <c r="G596" s="1"/>
      <c r="H596" s="11"/>
      <c r="I596" s="1"/>
      <c r="J596" s="7"/>
      <c r="K596" s="8"/>
      <c r="L596" s="11"/>
      <c r="M596" s="12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  <c r="Z596" s="14"/>
      <c r="AA596" s="14"/>
      <c r="AB596" s="14"/>
      <c r="AC596" s="14"/>
      <c r="AD596" s="14"/>
      <c r="AE596" s="14"/>
      <c r="AF596" s="14"/>
      <c r="AG596" s="14"/>
      <c r="AH596" s="14"/>
    </row>
    <row r="597" spans="1:34" x14ac:dyDescent="0.25">
      <c r="A597" s="14"/>
      <c r="B597" s="5"/>
      <c r="C597" s="12"/>
      <c r="D597" s="11"/>
      <c r="E597" s="224"/>
      <c r="F597" s="11"/>
      <c r="G597" s="1"/>
      <c r="H597" s="11"/>
      <c r="I597" s="1"/>
      <c r="J597" s="7"/>
      <c r="K597" s="8"/>
      <c r="L597" s="11"/>
      <c r="M597" s="12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  <c r="Z597" s="14"/>
      <c r="AA597" s="14"/>
      <c r="AB597" s="14"/>
      <c r="AC597" s="14"/>
      <c r="AD597" s="14"/>
      <c r="AE597" s="14"/>
      <c r="AF597" s="14"/>
      <c r="AG597" s="14"/>
      <c r="AH597" s="14"/>
    </row>
    <row r="598" spans="1:34" x14ac:dyDescent="0.25">
      <c r="A598" s="14"/>
      <c r="B598" s="5"/>
      <c r="C598" s="12"/>
      <c r="D598" s="11"/>
      <c r="E598" s="224"/>
      <c r="F598" s="11"/>
      <c r="G598" s="1"/>
      <c r="H598" s="11"/>
      <c r="I598" s="1"/>
      <c r="J598" s="7"/>
      <c r="K598" s="8"/>
      <c r="L598" s="11"/>
      <c r="M598" s="12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  <c r="Z598" s="14"/>
      <c r="AA598" s="14"/>
      <c r="AB598" s="14"/>
      <c r="AC598" s="14"/>
      <c r="AD598" s="14"/>
      <c r="AE598" s="14"/>
      <c r="AF598" s="14"/>
      <c r="AG598" s="14"/>
      <c r="AH598" s="14"/>
    </row>
    <row r="599" spans="1:34" x14ac:dyDescent="0.25">
      <c r="A599" s="14"/>
      <c r="B599" s="5"/>
      <c r="C599" s="12"/>
      <c r="D599" s="11"/>
      <c r="E599" s="224"/>
      <c r="F599" s="11"/>
      <c r="G599" s="1"/>
      <c r="H599" s="11"/>
      <c r="I599" s="1"/>
      <c r="J599" s="7"/>
      <c r="K599" s="8"/>
      <c r="L599" s="11"/>
      <c r="M599" s="12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  <c r="Z599" s="14"/>
      <c r="AA599" s="14"/>
      <c r="AB599" s="14"/>
      <c r="AC599" s="14"/>
      <c r="AD599" s="14"/>
      <c r="AE599" s="14"/>
      <c r="AF599" s="14"/>
      <c r="AG599" s="14"/>
      <c r="AH599" s="14"/>
    </row>
    <row r="600" spans="1:34" x14ac:dyDescent="0.25">
      <c r="A600" s="14"/>
      <c r="B600" s="5"/>
      <c r="C600" s="12"/>
      <c r="D600" s="11"/>
      <c r="E600" s="224"/>
      <c r="F600" s="11"/>
      <c r="G600" s="1"/>
      <c r="H600" s="11"/>
      <c r="I600" s="1"/>
      <c r="J600" s="7"/>
      <c r="K600" s="8"/>
      <c r="L600" s="11"/>
      <c r="M600" s="12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  <c r="Z600" s="14"/>
      <c r="AA600" s="14"/>
      <c r="AB600" s="14"/>
      <c r="AC600" s="14"/>
      <c r="AD600" s="14"/>
      <c r="AE600" s="14"/>
      <c r="AF600" s="14"/>
      <c r="AG600" s="14"/>
      <c r="AH600" s="14"/>
    </row>
    <row r="601" spans="1:34" x14ac:dyDescent="0.25">
      <c r="A601" s="14"/>
      <c r="B601" s="5"/>
      <c r="C601" s="12"/>
      <c r="D601" s="11"/>
      <c r="E601" s="224"/>
      <c r="F601" s="11"/>
      <c r="G601" s="1"/>
      <c r="H601" s="11"/>
      <c r="I601" s="1"/>
      <c r="J601" s="7"/>
      <c r="K601" s="8"/>
      <c r="L601" s="11"/>
      <c r="M601" s="12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  <c r="Z601" s="14"/>
      <c r="AA601" s="14"/>
      <c r="AB601" s="14"/>
      <c r="AC601" s="14"/>
      <c r="AD601" s="14"/>
      <c r="AE601" s="14"/>
      <c r="AF601" s="14"/>
      <c r="AG601" s="14"/>
      <c r="AH601" s="14"/>
    </row>
    <row r="602" spans="1:34" x14ac:dyDescent="0.25">
      <c r="A602" s="14"/>
      <c r="B602" s="5"/>
      <c r="C602" s="12"/>
      <c r="D602" s="11"/>
      <c r="E602" s="224"/>
      <c r="F602" s="11"/>
      <c r="G602" s="1"/>
      <c r="H602" s="11"/>
      <c r="I602" s="1"/>
      <c r="J602" s="7"/>
      <c r="K602" s="8"/>
      <c r="L602" s="11"/>
      <c r="M602" s="12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  <c r="Z602" s="14"/>
      <c r="AA602" s="14"/>
      <c r="AB602" s="14"/>
      <c r="AC602" s="14"/>
      <c r="AD602" s="14"/>
      <c r="AE602" s="14"/>
      <c r="AF602" s="14"/>
      <c r="AG602" s="14"/>
      <c r="AH602" s="14"/>
    </row>
    <row r="603" spans="1:34" x14ac:dyDescent="0.25">
      <c r="A603" s="14"/>
      <c r="B603" s="5"/>
      <c r="C603" s="12"/>
      <c r="D603" s="11"/>
      <c r="E603" s="224"/>
      <c r="F603" s="11"/>
      <c r="G603" s="1"/>
      <c r="H603" s="11"/>
      <c r="I603" s="1"/>
      <c r="J603" s="7"/>
      <c r="K603" s="8"/>
      <c r="L603" s="11"/>
      <c r="M603" s="12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  <c r="Z603" s="14"/>
      <c r="AA603" s="14"/>
      <c r="AB603" s="14"/>
      <c r="AC603" s="14"/>
      <c r="AD603" s="14"/>
      <c r="AE603" s="14"/>
      <c r="AF603" s="14"/>
      <c r="AG603" s="14"/>
      <c r="AH603" s="14"/>
    </row>
    <row r="604" spans="1:34" x14ac:dyDescent="0.25">
      <c r="A604" s="14"/>
      <c r="B604" s="5"/>
      <c r="C604" s="12"/>
      <c r="D604" s="11"/>
      <c r="E604" s="224"/>
      <c r="F604" s="11"/>
      <c r="G604" s="1"/>
      <c r="H604" s="11"/>
      <c r="I604" s="1"/>
      <c r="J604" s="7"/>
      <c r="K604" s="8"/>
      <c r="L604" s="11"/>
      <c r="M604" s="12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  <c r="Z604" s="14"/>
      <c r="AA604" s="14"/>
      <c r="AB604" s="14"/>
      <c r="AC604" s="14"/>
      <c r="AD604" s="14"/>
      <c r="AE604" s="14"/>
      <c r="AF604" s="14"/>
      <c r="AG604" s="14"/>
      <c r="AH604" s="14"/>
    </row>
    <row r="605" spans="1:34" x14ac:dyDescent="0.25">
      <c r="A605" s="14"/>
      <c r="B605" s="5"/>
      <c r="C605" s="12"/>
      <c r="D605" s="11"/>
      <c r="E605" s="224"/>
      <c r="F605" s="11"/>
      <c r="G605" s="1"/>
      <c r="H605" s="11"/>
      <c r="I605" s="1"/>
      <c r="J605" s="7"/>
      <c r="K605" s="8"/>
      <c r="L605" s="11"/>
      <c r="M605" s="12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  <c r="Z605" s="14"/>
      <c r="AA605" s="14"/>
      <c r="AB605" s="14"/>
      <c r="AC605" s="14"/>
      <c r="AD605" s="14"/>
      <c r="AE605" s="14"/>
      <c r="AF605" s="14"/>
      <c r="AG605" s="14"/>
      <c r="AH605" s="14"/>
    </row>
    <row r="606" spans="1:34" x14ac:dyDescent="0.25">
      <c r="A606" s="14"/>
      <c r="B606" s="5"/>
      <c r="C606" s="12"/>
      <c r="D606" s="11"/>
      <c r="E606" s="224"/>
      <c r="F606" s="11"/>
      <c r="G606" s="1"/>
      <c r="H606" s="11"/>
      <c r="I606" s="1"/>
      <c r="J606" s="7"/>
      <c r="K606" s="8"/>
      <c r="L606" s="11"/>
      <c r="M606" s="12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  <c r="Z606" s="14"/>
      <c r="AA606" s="14"/>
      <c r="AB606" s="14"/>
      <c r="AC606" s="14"/>
      <c r="AD606" s="14"/>
      <c r="AE606" s="14"/>
      <c r="AF606" s="14"/>
      <c r="AG606" s="14"/>
      <c r="AH606" s="14"/>
    </row>
    <row r="607" spans="1:34" x14ac:dyDescent="0.25">
      <c r="A607" s="14"/>
      <c r="B607" s="5"/>
      <c r="C607" s="12"/>
      <c r="D607" s="11"/>
      <c r="E607" s="224"/>
      <c r="F607" s="11"/>
      <c r="G607" s="1"/>
      <c r="H607" s="11"/>
      <c r="I607" s="1"/>
      <c r="J607" s="7"/>
      <c r="K607" s="8"/>
      <c r="L607" s="11"/>
      <c r="M607" s="12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  <c r="Z607" s="14"/>
      <c r="AA607" s="14"/>
      <c r="AB607" s="14"/>
      <c r="AC607" s="14"/>
      <c r="AD607" s="14"/>
      <c r="AE607" s="14"/>
      <c r="AF607" s="14"/>
      <c r="AG607" s="14"/>
      <c r="AH607" s="14"/>
    </row>
    <row r="608" spans="1:34" x14ac:dyDescent="0.25">
      <c r="A608" s="14"/>
      <c r="B608" s="5"/>
      <c r="C608" s="12"/>
      <c r="D608" s="11"/>
      <c r="E608" s="224"/>
      <c r="F608" s="11"/>
      <c r="G608" s="1"/>
      <c r="H608" s="11"/>
      <c r="I608" s="1"/>
      <c r="J608" s="7"/>
      <c r="K608" s="8"/>
      <c r="L608" s="11"/>
      <c r="M608" s="12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  <c r="Z608" s="14"/>
      <c r="AA608" s="14"/>
      <c r="AB608" s="14"/>
      <c r="AC608" s="14"/>
      <c r="AD608" s="14"/>
      <c r="AE608" s="14"/>
      <c r="AF608" s="14"/>
      <c r="AG608" s="14"/>
      <c r="AH608" s="14"/>
    </row>
    <row r="609" spans="1:34" x14ac:dyDescent="0.25">
      <c r="A609" s="14"/>
      <c r="B609" s="5"/>
      <c r="C609" s="12"/>
      <c r="D609" s="11"/>
      <c r="E609" s="224"/>
      <c r="F609" s="11"/>
      <c r="G609" s="1"/>
      <c r="H609" s="11"/>
      <c r="I609" s="1"/>
      <c r="J609" s="7"/>
      <c r="K609" s="8"/>
      <c r="L609" s="11"/>
      <c r="M609" s="12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  <c r="Z609" s="14"/>
      <c r="AA609" s="14"/>
      <c r="AB609" s="14"/>
      <c r="AC609" s="14"/>
      <c r="AD609" s="14"/>
      <c r="AE609" s="14"/>
      <c r="AF609" s="14"/>
      <c r="AG609" s="14"/>
      <c r="AH609" s="14"/>
    </row>
    <row r="610" spans="1:34" x14ac:dyDescent="0.25">
      <c r="A610" s="14"/>
      <c r="B610" s="5"/>
      <c r="C610" s="12"/>
      <c r="D610" s="11"/>
      <c r="E610" s="224"/>
      <c r="F610" s="11"/>
      <c r="G610" s="1"/>
      <c r="H610" s="11"/>
      <c r="I610" s="1"/>
      <c r="J610" s="7"/>
      <c r="K610" s="8"/>
      <c r="L610" s="11"/>
      <c r="M610" s="12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  <c r="Z610" s="14"/>
      <c r="AA610" s="14"/>
      <c r="AB610" s="14"/>
      <c r="AC610" s="14"/>
      <c r="AD610" s="14"/>
      <c r="AE610" s="14"/>
      <c r="AF610" s="14"/>
      <c r="AG610" s="14"/>
      <c r="AH610" s="14"/>
    </row>
    <row r="611" spans="1:34" x14ac:dyDescent="0.25">
      <c r="A611" s="14"/>
      <c r="B611" s="5"/>
      <c r="C611" s="12"/>
      <c r="D611" s="11"/>
      <c r="E611" s="224"/>
      <c r="F611" s="11"/>
      <c r="G611" s="1"/>
      <c r="H611" s="11"/>
      <c r="I611" s="1"/>
      <c r="J611" s="7"/>
      <c r="K611" s="8"/>
      <c r="L611" s="11"/>
      <c r="M611" s="12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  <c r="Z611" s="14"/>
      <c r="AA611" s="14"/>
      <c r="AB611" s="14"/>
      <c r="AC611" s="14"/>
      <c r="AD611" s="14"/>
      <c r="AE611" s="14"/>
      <c r="AF611" s="14"/>
      <c r="AG611" s="14"/>
      <c r="AH611" s="14"/>
    </row>
    <row r="612" spans="1:34" x14ac:dyDescent="0.25">
      <c r="A612" s="14"/>
      <c r="B612" s="5"/>
      <c r="C612" s="12"/>
      <c r="D612" s="11"/>
      <c r="E612" s="224"/>
      <c r="F612" s="11"/>
      <c r="G612" s="1"/>
      <c r="H612" s="11"/>
      <c r="I612" s="1"/>
      <c r="J612" s="7"/>
      <c r="K612" s="8"/>
      <c r="L612" s="11"/>
      <c r="M612" s="12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  <c r="Z612" s="14"/>
      <c r="AA612" s="14"/>
      <c r="AB612" s="14"/>
      <c r="AC612" s="14"/>
      <c r="AD612" s="14"/>
      <c r="AE612" s="14"/>
      <c r="AF612" s="14"/>
      <c r="AG612" s="14"/>
      <c r="AH612" s="14"/>
    </row>
    <row r="613" spans="1:34" x14ac:dyDescent="0.25">
      <c r="A613" s="14"/>
      <c r="B613" s="5"/>
      <c r="C613" s="12"/>
      <c r="D613" s="11"/>
      <c r="E613" s="224"/>
      <c r="F613" s="11"/>
      <c r="G613" s="1"/>
      <c r="H613" s="11"/>
      <c r="I613" s="1"/>
      <c r="J613" s="7"/>
      <c r="K613" s="8"/>
      <c r="L613" s="11"/>
      <c r="M613" s="12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  <c r="Z613" s="14"/>
      <c r="AA613" s="14"/>
      <c r="AB613" s="14"/>
      <c r="AC613" s="14"/>
      <c r="AD613" s="14"/>
      <c r="AE613" s="14"/>
      <c r="AF613" s="14"/>
      <c r="AG613" s="14"/>
      <c r="AH613" s="14"/>
    </row>
    <row r="614" spans="1:34" x14ac:dyDescent="0.25">
      <c r="A614" s="14"/>
      <c r="B614" s="5"/>
      <c r="C614" s="12"/>
      <c r="D614" s="11"/>
      <c r="E614" s="224"/>
      <c r="F614" s="11"/>
      <c r="G614" s="1"/>
      <c r="H614" s="11"/>
      <c r="I614" s="1"/>
      <c r="J614" s="7"/>
      <c r="K614" s="8"/>
      <c r="L614" s="11"/>
      <c r="M614" s="12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  <c r="Z614" s="14"/>
      <c r="AA614" s="14"/>
      <c r="AB614" s="14"/>
      <c r="AC614" s="14"/>
      <c r="AD614" s="14"/>
      <c r="AE614" s="14"/>
      <c r="AF614" s="14"/>
      <c r="AG614" s="14"/>
      <c r="AH614" s="14"/>
    </row>
    <row r="615" spans="1:34" x14ac:dyDescent="0.25">
      <c r="A615" s="14"/>
      <c r="B615" s="5"/>
      <c r="C615" s="12"/>
      <c r="D615" s="11"/>
      <c r="E615" s="224"/>
      <c r="F615" s="11"/>
      <c r="G615" s="1"/>
      <c r="H615" s="11"/>
      <c r="I615" s="1"/>
      <c r="J615" s="7"/>
      <c r="K615" s="8"/>
      <c r="L615" s="11"/>
      <c r="M615" s="12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  <c r="Z615" s="14"/>
      <c r="AA615" s="14"/>
      <c r="AB615" s="14"/>
      <c r="AC615" s="14"/>
      <c r="AD615" s="14"/>
      <c r="AE615" s="14"/>
      <c r="AF615" s="14"/>
      <c r="AG615" s="14"/>
      <c r="AH615" s="14"/>
    </row>
    <row r="616" spans="1:34" x14ac:dyDescent="0.25">
      <c r="A616" s="14"/>
      <c r="B616" s="5"/>
      <c r="C616" s="12"/>
      <c r="D616" s="11"/>
      <c r="E616" s="224"/>
      <c r="F616" s="11"/>
      <c r="G616" s="1"/>
      <c r="H616" s="11"/>
      <c r="I616" s="1"/>
      <c r="J616" s="7"/>
      <c r="K616" s="8"/>
      <c r="L616" s="11"/>
      <c r="M616" s="12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  <c r="Z616" s="14"/>
      <c r="AA616" s="14"/>
      <c r="AB616" s="14"/>
      <c r="AC616" s="14"/>
      <c r="AD616" s="14"/>
      <c r="AE616" s="14"/>
      <c r="AF616" s="14"/>
      <c r="AG616" s="14"/>
      <c r="AH616" s="14"/>
    </row>
    <row r="617" spans="1:34" x14ac:dyDescent="0.25">
      <c r="A617" s="14"/>
      <c r="B617" s="5"/>
      <c r="C617" s="12"/>
      <c r="D617" s="11"/>
      <c r="E617" s="224"/>
      <c r="F617" s="11"/>
      <c r="G617" s="1"/>
      <c r="H617" s="11"/>
      <c r="I617" s="1"/>
      <c r="J617" s="7"/>
      <c r="K617" s="8"/>
      <c r="L617" s="11"/>
      <c r="M617" s="12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  <c r="Z617" s="14"/>
      <c r="AA617" s="14"/>
      <c r="AB617" s="14"/>
      <c r="AC617" s="14"/>
      <c r="AD617" s="14"/>
      <c r="AE617" s="14"/>
      <c r="AF617" s="14"/>
      <c r="AG617" s="14"/>
      <c r="AH617" s="14"/>
    </row>
    <row r="618" spans="1:34" x14ac:dyDescent="0.25">
      <c r="A618" s="14"/>
      <c r="B618" s="5"/>
      <c r="C618" s="12"/>
      <c r="D618" s="11"/>
      <c r="E618" s="224"/>
      <c r="F618" s="11"/>
      <c r="G618" s="1"/>
      <c r="H618" s="11"/>
      <c r="I618" s="1"/>
      <c r="J618" s="7"/>
      <c r="K618" s="8"/>
      <c r="L618" s="11"/>
      <c r="M618" s="12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  <c r="Z618" s="14"/>
      <c r="AA618" s="14"/>
      <c r="AB618" s="14"/>
      <c r="AC618" s="14"/>
      <c r="AD618" s="14"/>
      <c r="AE618" s="14"/>
      <c r="AF618" s="14"/>
      <c r="AG618" s="14"/>
      <c r="AH618" s="14"/>
    </row>
    <row r="619" spans="1:34" x14ac:dyDescent="0.25">
      <c r="A619" s="14"/>
      <c r="B619" s="5"/>
      <c r="C619" s="12"/>
      <c r="D619" s="11"/>
      <c r="E619" s="224"/>
      <c r="F619" s="11"/>
      <c r="G619" s="1"/>
      <c r="H619" s="11"/>
      <c r="I619" s="1"/>
      <c r="J619" s="7"/>
      <c r="K619" s="8"/>
      <c r="L619" s="11"/>
      <c r="M619" s="12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  <c r="Z619" s="14"/>
      <c r="AA619" s="14"/>
      <c r="AB619" s="14"/>
      <c r="AC619" s="14"/>
      <c r="AD619" s="14"/>
      <c r="AE619" s="14"/>
      <c r="AF619" s="14"/>
      <c r="AG619" s="14"/>
      <c r="AH619" s="14"/>
    </row>
    <row r="620" spans="1:34" x14ac:dyDescent="0.25">
      <c r="A620" s="14"/>
      <c r="B620" s="5"/>
      <c r="C620" s="12"/>
      <c r="D620" s="11"/>
      <c r="E620" s="224"/>
      <c r="F620" s="11"/>
      <c r="G620" s="1"/>
      <c r="H620" s="11"/>
      <c r="I620" s="1"/>
      <c r="J620" s="7"/>
      <c r="K620" s="8"/>
      <c r="L620" s="11"/>
      <c r="M620" s="12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  <c r="Z620" s="14"/>
      <c r="AA620" s="14"/>
      <c r="AB620" s="14"/>
      <c r="AC620" s="14"/>
      <c r="AD620" s="14"/>
      <c r="AE620" s="14"/>
      <c r="AF620" s="14"/>
      <c r="AG620" s="14"/>
      <c r="AH620" s="14"/>
    </row>
    <row r="621" spans="1:34" x14ac:dyDescent="0.25">
      <c r="A621" s="14"/>
      <c r="B621" s="5"/>
      <c r="C621" s="12"/>
      <c r="D621" s="11"/>
      <c r="E621" s="224"/>
      <c r="F621" s="11"/>
      <c r="G621" s="1"/>
      <c r="H621" s="11"/>
      <c r="I621" s="1"/>
      <c r="J621" s="7"/>
      <c r="K621" s="8"/>
      <c r="L621" s="11"/>
      <c r="M621" s="12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  <c r="Z621" s="14"/>
      <c r="AA621" s="14"/>
      <c r="AB621" s="14"/>
      <c r="AC621" s="14"/>
      <c r="AD621" s="14"/>
      <c r="AE621" s="14"/>
      <c r="AF621" s="14"/>
      <c r="AG621" s="14"/>
      <c r="AH621" s="14"/>
    </row>
    <row r="622" spans="1:34" x14ac:dyDescent="0.25">
      <c r="A622" s="14"/>
      <c r="B622" s="5"/>
      <c r="C622" s="12"/>
      <c r="D622" s="11"/>
      <c r="E622" s="224"/>
      <c r="F622" s="11"/>
      <c r="G622" s="1"/>
      <c r="H622" s="11"/>
      <c r="I622" s="1"/>
      <c r="J622" s="7"/>
      <c r="K622" s="8"/>
      <c r="L622" s="11"/>
      <c r="M622" s="12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  <c r="Z622" s="14"/>
      <c r="AA622" s="14"/>
      <c r="AB622" s="14"/>
      <c r="AC622" s="14"/>
      <c r="AD622" s="14"/>
      <c r="AE622" s="14"/>
      <c r="AF622" s="14"/>
      <c r="AG622" s="14"/>
      <c r="AH622" s="14"/>
    </row>
    <row r="623" spans="1:34" x14ac:dyDescent="0.25">
      <c r="A623" s="14"/>
      <c r="B623" s="5"/>
      <c r="C623" s="12"/>
      <c r="D623" s="11"/>
      <c r="E623" s="224"/>
      <c r="F623" s="11"/>
      <c r="G623" s="1"/>
      <c r="H623" s="11"/>
      <c r="I623" s="1"/>
      <c r="J623" s="7"/>
      <c r="K623" s="8"/>
      <c r="L623" s="11"/>
      <c r="M623" s="12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  <c r="Z623" s="14"/>
      <c r="AA623" s="14"/>
      <c r="AB623" s="14"/>
      <c r="AC623" s="14"/>
      <c r="AD623" s="14"/>
      <c r="AE623" s="14"/>
      <c r="AF623" s="14"/>
      <c r="AG623" s="14"/>
      <c r="AH623" s="14"/>
    </row>
    <row r="624" spans="1:34" x14ac:dyDescent="0.25">
      <c r="A624" s="14"/>
      <c r="B624" s="5"/>
      <c r="C624" s="12"/>
      <c r="D624" s="11"/>
      <c r="E624" s="224"/>
      <c r="F624" s="11"/>
      <c r="G624" s="1"/>
      <c r="H624" s="11"/>
      <c r="I624" s="1"/>
      <c r="J624" s="7"/>
      <c r="K624" s="8"/>
      <c r="L624" s="11"/>
      <c r="M624" s="12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  <c r="Z624" s="14"/>
      <c r="AA624" s="14"/>
      <c r="AB624" s="14"/>
      <c r="AC624" s="14"/>
      <c r="AD624" s="14"/>
      <c r="AE624" s="14"/>
      <c r="AF624" s="14"/>
      <c r="AG624" s="14"/>
      <c r="AH624" s="14"/>
    </row>
    <row r="625" spans="1:34" x14ac:dyDescent="0.25">
      <c r="A625" s="14"/>
      <c r="B625" s="5"/>
      <c r="C625" s="12"/>
      <c r="D625" s="11"/>
      <c r="E625" s="224"/>
      <c r="F625" s="11"/>
      <c r="G625" s="1"/>
      <c r="H625" s="11"/>
      <c r="I625" s="1"/>
      <c r="J625" s="7"/>
      <c r="K625" s="8"/>
      <c r="L625" s="11"/>
      <c r="M625" s="12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  <c r="Z625" s="14"/>
      <c r="AA625" s="14"/>
      <c r="AB625" s="14"/>
      <c r="AC625" s="14"/>
      <c r="AD625" s="14"/>
      <c r="AE625" s="14"/>
      <c r="AF625" s="14"/>
      <c r="AG625" s="14"/>
      <c r="AH625" s="14"/>
    </row>
    <row r="626" spans="1:34" x14ac:dyDescent="0.25">
      <c r="A626" s="14"/>
      <c r="B626" s="5"/>
      <c r="C626" s="12"/>
      <c r="D626" s="11"/>
      <c r="E626" s="224"/>
      <c r="F626" s="11"/>
      <c r="G626" s="1"/>
      <c r="H626" s="11"/>
      <c r="I626" s="1"/>
      <c r="J626" s="7"/>
      <c r="K626" s="8"/>
      <c r="L626" s="11"/>
      <c r="M626" s="12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  <c r="Z626" s="14"/>
      <c r="AA626" s="14"/>
      <c r="AB626" s="14"/>
      <c r="AC626" s="14"/>
      <c r="AD626" s="14"/>
      <c r="AE626" s="14"/>
      <c r="AF626" s="14"/>
      <c r="AG626" s="14"/>
      <c r="AH626" s="14"/>
    </row>
    <row r="627" spans="1:34" x14ac:dyDescent="0.25">
      <c r="A627" s="14"/>
      <c r="B627" s="5"/>
      <c r="C627" s="12"/>
      <c r="D627" s="11"/>
      <c r="E627" s="224"/>
      <c r="F627" s="11"/>
      <c r="G627" s="1"/>
      <c r="H627" s="11"/>
      <c r="I627" s="1"/>
      <c r="J627" s="7"/>
      <c r="K627" s="8"/>
      <c r="L627" s="11"/>
      <c r="M627" s="12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  <c r="Z627" s="14"/>
      <c r="AA627" s="14"/>
      <c r="AB627" s="14"/>
      <c r="AC627" s="14"/>
      <c r="AD627" s="14"/>
      <c r="AE627" s="14"/>
      <c r="AF627" s="14"/>
      <c r="AG627" s="14"/>
      <c r="AH627" s="14"/>
    </row>
    <row r="628" spans="1:34" x14ac:dyDescent="0.25">
      <c r="A628" s="14"/>
      <c r="B628" s="5"/>
      <c r="C628" s="12"/>
      <c r="D628" s="11"/>
      <c r="E628" s="224"/>
      <c r="F628" s="11"/>
      <c r="G628" s="1"/>
      <c r="H628" s="11"/>
      <c r="I628" s="1"/>
      <c r="J628" s="7"/>
      <c r="K628" s="8"/>
      <c r="L628" s="11"/>
      <c r="M628" s="12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  <c r="Z628" s="14"/>
      <c r="AA628" s="14"/>
      <c r="AB628" s="14"/>
      <c r="AC628" s="14"/>
      <c r="AD628" s="14"/>
      <c r="AE628" s="14"/>
      <c r="AF628" s="14"/>
      <c r="AG628" s="14"/>
      <c r="AH628" s="14"/>
    </row>
    <row r="629" spans="1:34" x14ac:dyDescent="0.25">
      <c r="A629" s="14"/>
      <c r="B629" s="5"/>
      <c r="C629" s="12"/>
      <c r="D629" s="11"/>
      <c r="E629" s="224"/>
      <c r="F629" s="11"/>
      <c r="G629" s="1"/>
      <c r="H629" s="11"/>
      <c r="I629" s="1"/>
      <c r="J629" s="7"/>
      <c r="K629" s="8"/>
      <c r="L629" s="11"/>
      <c r="M629" s="12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  <c r="Z629" s="14"/>
      <c r="AA629" s="14"/>
      <c r="AB629" s="14"/>
      <c r="AC629" s="14"/>
      <c r="AD629" s="14"/>
      <c r="AE629" s="14"/>
      <c r="AF629" s="14"/>
      <c r="AG629" s="14"/>
      <c r="AH629" s="14"/>
    </row>
    <row r="630" spans="1:34" x14ac:dyDescent="0.25">
      <c r="A630" s="14"/>
      <c r="B630" s="5"/>
      <c r="C630" s="12"/>
      <c r="D630" s="11"/>
      <c r="E630" s="224"/>
      <c r="F630" s="11"/>
      <c r="G630" s="1"/>
      <c r="H630" s="11"/>
      <c r="I630" s="1"/>
      <c r="J630" s="7"/>
      <c r="K630" s="8"/>
      <c r="L630" s="11"/>
      <c r="M630" s="12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  <c r="Z630" s="14"/>
      <c r="AA630" s="14"/>
      <c r="AB630" s="14"/>
      <c r="AC630" s="14"/>
      <c r="AD630" s="14"/>
      <c r="AE630" s="14"/>
      <c r="AF630" s="14"/>
      <c r="AG630" s="14"/>
      <c r="AH630" s="14"/>
    </row>
    <row r="631" spans="1:34" x14ac:dyDescent="0.25">
      <c r="A631" s="14"/>
      <c r="B631" s="5"/>
      <c r="C631" s="12"/>
      <c r="D631" s="11"/>
      <c r="E631" s="224"/>
      <c r="F631" s="11"/>
      <c r="G631" s="1"/>
      <c r="H631" s="11"/>
      <c r="I631" s="1"/>
      <c r="J631" s="7"/>
      <c r="K631" s="8"/>
      <c r="L631" s="11"/>
      <c r="M631" s="12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  <c r="Z631" s="14"/>
      <c r="AA631" s="14"/>
      <c r="AB631" s="14"/>
      <c r="AC631" s="14"/>
      <c r="AD631" s="14"/>
      <c r="AE631" s="14"/>
      <c r="AF631" s="14"/>
      <c r="AG631" s="14"/>
      <c r="AH631" s="14"/>
    </row>
    <row r="632" spans="1:34" x14ac:dyDescent="0.25">
      <c r="A632" s="14"/>
      <c r="B632" s="5"/>
      <c r="C632" s="12"/>
      <c r="D632" s="11"/>
      <c r="E632" s="224"/>
      <c r="F632" s="11"/>
      <c r="G632" s="1"/>
      <c r="H632" s="11"/>
      <c r="I632" s="1"/>
      <c r="J632" s="7"/>
      <c r="K632" s="8"/>
      <c r="L632" s="11"/>
      <c r="M632" s="12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  <c r="Z632" s="14"/>
      <c r="AA632" s="14"/>
      <c r="AB632" s="14"/>
      <c r="AC632" s="14"/>
      <c r="AD632" s="14"/>
      <c r="AE632" s="14"/>
      <c r="AF632" s="14"/>
      <c r="AG632" s="14"/>
      <c r="AH632" s="14"/>
    </row>
    <row r="633" spans="1:34" x14ac:dyDescent="0.25">
      <c r="A633" s="14"/>
      <c r="B633" s="5"/>
      <c r="C633" s="12"/>
      <c r="D633" s="11"/>
      <c r="E633" s="224"/>
      <c r="F633" s="11"/>
      <c r="G633" s="1"/>
      <c r="H633" s="11"/>
      <c r="I633" s="1"/>
      <c r="J633" s="7"/>
      <c r="K633" s="8"/>
      <c r="L633" s="11"/>
      <c r="M633" s="12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  <c r="Z633" s="14"/>
      <c r="AA633" s="14"/>
      <c r="AB633" s="14"/>
      <c r="AC633" s="14"/>
      <c r="AD633" s="14"/>
      <c r="AE633" s="14"/>
      <c r="AF633" s="14"/>
      <c r="AG633" s="14"/>
      <c r="AH633" s="14"/>
    </row>
    <row r="634" spans="1:34" x14ac:dyDescent="0.25">
      <c r="A634" s="14"/>
      <c r="B634" s="5"/>
      <c r="C634" s="12"/>
      <c r="D634" s="11"/>
      <c r="E634" s="224"/>
      <c r="F634" s="11"/>
      <c r="G634" s="1"/>
      <c r="H634" s="11"/>
      <c r="I634" s="1"/>
      <c r="J634" s="7"/>
      <c r="K634" s="8"/>
      <c r="L634" s="11"/>
      <c r="M634" s="12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  <c r="Z634" s="14"/>
      <c r="AA634" s="14"/>
      <c r="AB634" s="14"/>
      <c r="AC634" s="14"/>
      <c r="AD634" s="14"/>
      <c r="AE634" s="14"/>
      <c r="AF634" s="14"/>
      <c r="AG634" s="14"/>
      <c r="AH634" s="14"/>
    </row>
    <row r="635" spans="1:34" x14ac:dyDescent="0.25">
      <c r="A635" s="14"/>
      <c r="B635" s="5"/>
      <c r="C635" s="12"/>
      <c r="D635" s="11"/>
      <c r="E635" s="224"/>
      <c r="F635" s="11"/>
      <c r="G635" s="1"/>
      <c r="H635" s="11"/>
      <c r="I635" s="1"/>
      <c r="J635" s="7"/>
      <c r="K635" s="8"/>
      <c r="L635" s="11"/>
      <c r="M635" s="12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  <c r="Z635" s="14"/>
      <c r="AA635" s="14"/>
      <c r="AB635" s="14"/>
      <c r="AC635" s="14"/>
      <c r="AD635" s="14"/>
      <c r="AE635" s="14"/>
      <c r="AF635" s="14"/>
      <c r="AG635" s="14"/>
      <c r="AH635" s="14"/>
    </row>
    <row r="636" spans="1:34" x14ac:dyDescent="0.25">
      <c r="A636" s="14"/>
      <c r="B636" s="5"/>
      <c r="C636" s="12"/>
      <c r="D636" s="11"/>
      <c r="E636" s="224"/>
      <c r="F636" s="11"/>
      <c r="G636" s="1"/>
      <c r="H636" s="11"/>
      <c r="I636" s="1"/>
      <c r="J636" s="7"/>
      <c r="K636" s="8"/>
      <c r="L636" s="11"/>
      <c r="M636" s="12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  <c r="Z636" s="14"/>
      <c r="AA636" s="14"/>
      <c r="AB636" s="14"/>
      <c r="AC636" s="14"/>
      <c r="AD636" s="14"/>
      <c r="AE636" s="14"/>
      <c r="AF636" s="14"/>
      <c r="AG636" s="14"/>
      <c r="AH636" s="14"/>
    </row>
    <row r="637" spans="1:34" x14ac:dyDescent="0.25">
      <c r="A637" s="14"/>
      <c r="B637" s="5"/>
      <c r="C637" s="12"/>
      <c r="D637" s="11"/>
      <c r="E637" s="224"/>
      <c r="F637" s="11"/>
      <c r="G637" s="1"/>
      <c r="H637" s="11"/>
      <c r="I637" s="1"/>
      <c r="J637" s="7"/>
      <c r="K637" s="8"/>
      <c r="L637" s="11"/>
      <c r="M637" s="12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  <c r="Z637" s="14"/>
      <c r="AA637" s="14"/>
      <c r="AB637" s="14"/>
      <c r="AC637" s="14"/>
      <c r="AD637" s="14"/>
      <c r="AE637" s="14"/>
      <c r="AF637" s="14"/>
      <c r="AG637" s="14"/>
      <c r="AH637" s="14"/>
    </row>
    <row r="638" spans="1:34" x14ac:dyDescent="0.25">
      <c r="A638" s="14"/>
      <c r="B638" s="5"/>
      <c r="C638" s="12"/>
      <c r="D638" s="11"/>
      <c r="E638" s="224"/>
      <c r="F638" s="11"/>
      <c r="G638" s="1"/>
      <c r="H638" s="11"/>
      <c r="I638" s="1"/>
      <c r="J638" s="7"/>
      <c r="K638" s="8"/>
      <c r="L638" s="11"/>
      <c r="M638" s="12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  <c r="Z638" s="14"/>
      <c r="AA638" s="14"/>
      <c r="AB638" s="14"/>
      <c r="AC638" s="14"/>
      <c r="AD638" s="14"/>
      <c r="AE638" s="14"/>
      <c r="AF638" s="14"/>
      <c r="AG638" s="14"/>
      <c r="AH638" s="14"/>
    </row>
    <row r="639" spans="1:34" x14ac:dyDescent="0.25">
      <c r="A639" s="14"/>
      <c r="B639" s="5"/>
      <c r="C639" s="12"/>
      <c r="D639" s="11"/>
      <c r="E639" s="224"/>
      <c r="F639" s="11"/>
      <c r="G639" s="1"/>
      <c r="H639" s="11"/>
      <c r="I639" s="1"/>
      <c r="J639" s="7"/>
      <c r="K639" s="8"/>
      <c r="L639" s="11"/>
      <c r="M639" s="12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  <c r="Z639" s="14"/>
      <c r="AA639" s="14"/>
      <c r="AB639" s="14"/>
      <c r="AC639" s="14"/>
      <c r="AD639" s="14"/>
      <c r="AE639" s="14"/>
      <c r="AF639" s="14"/>
      <c r="AG639" s="14"/>
      <c r="AH639" s="14"/>
    </row>
    <row r="640" spans="1:34" x14ac:dyDescent="0.25">
      <c r="A640" s="14"/>
      <c r="B640" s="5"/>
      <c r="C640" s="12"/>
      <c r="D640" s="11"/>
      <c r="E640" s="224"/>
      <c r="F640" s="11"/>
      <c r="G640" s="1"/>
      <c r="H640" s="11"/>
      <c r="I640" s="1"/>
      <c r="J640" s="7"/>
      <c r="K640" s="8"/>
      <c r="L640" s="11"/>
      <c r="M640" s="12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  <c r="Z640" s="14"/>
      <c r="AA640" s="14"/>
      <c r="AB640" s="14"/>
      <c r="AC640" s="14"/>
      <c r="AD640" s="14"/>
      <c r="AE640" s="14"/>
      <c r="AF640" s="14"/>
      <c r="AG640" s="14"/>
      <c r="AH640" s="14"/>
    </row>
    <row r="641" spans="1:34" x14ac:dyDescent="0.25">
      <c r="A641" s="14"/>
      <c r="B641" s="5"/>
      <c r="C641" s="12"/>
      <c r="D641" s="11"/>
      <c r="E641" s="224"/>
      <c r="F641" s="11"/>
      <c r="G641" s="1"/>
      <c r="H641" s="11"/>
      <c r="I641" s="1"/>
      <c r="J641" s="7"/>
      <c r="K641" s="8"/>
      <c r="L641" s="11"/>
      <c r="M641" s="12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  <c r="Z641" s="14"/>
      <c r="AA641" s="14"/>
      <c r="AB641" s="14"/>
      <c r="AC641" s="14"/>
      <c r="AD641" s="14"/>
      <c r="AE641" s="14"/>
      <c r="AF641" s="14"/>
      <c r="AG641" s="14"/>
      <c r="AH641" s="14"/>
    </row>
    <row r="642" spans="1:34" x14ac:dyDescent="0.25">
      <c r="A642" s="14"/>
      <c r="B642" s="5"/>
      <c r="C642" s="12"/>
      <c r="D642" s="11"/>
      <c r="E642" s="224"/>
      <c r="F642" s="11"/>
      <c r="G642" s="1"/>
      <c r="H642" s="11"/>
      <c r="I642" s="1"/>
      <c r="J642" s="7"/>
      <c r="K642" s="8"/>
      <c r="L642" s="11"/>
      <c r="M642" s="12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  <c r="Z642" s="14"/>
      <c r="AA642" s="14"/>
      <c r="AB642" s="14"/>
      <c r="AC642" s="14"/>
      <c r="AD642" s="14"/>
      <c r="AE642" s="14"/>
      <c r="AF642" s="14"/>
      <c r="AG642" s="14"/>
      <c r="AH642" s="14"/>
    </row>
    <row r="643" spans="1:34" x14ac:dyDescent="0.25">
      <c r="A643" s="14"/>
      <c r="B643" s="5"/>
      <c r="C643" s="12"/>
      <c r="D643" s="11"/>
      <c r="E643" s="224"/>
      <c r="F643" s="11"/>
      <c r="G643" s="1"/>
      <c r="H643" s="11"/>
      <c r="I643" s="1"/>
      <c r="J643" s="7"/>
      <c r="K643" s="8"/>
      <c r="L643" s="11"/>
      <c r="M643" s="12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  <c r="Z643" s="14"/>
      <c r="AA643" s="14"/>
      <c r="AB643" s="14"/>
      <c r="AC643" s="14"/>
      <c r="AD643" s="14"/>
      <c r="AE643" s="14"/>
      <c r="AF643" s="14"/>
      <c r="AG643" s="14"/>
      <c r="AH643" s="14"/>
    </row>
    <row r="644" spans="1:34" x14ac:dyDescent="0.25">
      <c r="A644" s="14"/>
      <c r="B644" s="5"/>
      <c r="C644" s="12"/>
      <c r="D644" s="11"/>
      <c r="E644" s="224"/>
      <c r="F644" s="11"/>
      <c r="G644" s="1"/>
      <c r="H644" s="11"/>
      <c r="I644" s="1"/>
      <c r="J644" s="7"/>
      <c r="K644" s="8"/>
      <c r="L644" s="11"/>
      <c r="M644" s="12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  <c r="Z644" s="14"/>
      <c r="AA644" s="14"/>
      <c r="AB644" s="14"/>
      <c r="AC644" s="14"/>
      <c r="AD644" s="14"/>
      <c r="AE644" s="14"/>
      <c r="AF644" s="14"/>
      <c r="AG644" s="14"/>
      <c r="AH644" s="14"/>
    </row>
    <row r="645" spans="1:34" x14ac:dyDescent="0.25">
      <c r="A645" s="14"/>
      <c r="B645" s="5"/>
      <c r="C645" s="12"/>
      <c r="D645" s="11"/>
      <c r="E645" s="224"/>
      <c r="F645" s="11"/>
      <c r="G645" s="1"/>
      <c r="H645" s="11"/>
      <c r="I645" s="1"/>
      <c r="J645" s="7"/>
      <c r="K645" s="8"/>
      <c r="L645" s="11"/>
      <c r="M645" s="12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  <c r="Z645" s="14"/>
      <c r="AA645" s="14"/>
      <c r="AB645" s="14"/>
      <c r="AC645" s="14"/>
      <c r="AD645" s="14"/>
      <c r="AE645" s="14"/>
      <c r="AF645" s="14"/>
      <c r="AG645" s="14"/>
      <c r="AH645" s="14"/>
    </row>
    <row r="646" spans="1:34" x14ac:dyDescent="0.25">
      <c r="A646" s="14"/>
      <c r="B646" s="5"/>
      <c r="C646" s="12"/>
      <c r="D646" s="11"/>
      <c r="E646" s="224"/>
      <c r="F646" s="11"/>
      <c r="G646" s="1"/>
      <c r="H646" s="11"/>
      <c r="I646" s="1"/>
      <c r="J646" s="7"/>
      <c r="K646" s="8"/>
      <c r="L646" s="11"/>
      <c r="M646" s="12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  <c r="Z646" s="14"/>
      <c r="AA646" s="14"/>
      <c r="AB646" s="14"/>
      <c r="AC646" s="14"/>
      <c r="AD646" s="14"/>
      <c r="AE646" s="14"/>
      <c r="AF646" s="14"/>
      <c r="AG646" s="14"/>
      <c r="AH646" s="14"/>
    </row>
    <row r="647" spans="1:34" x14ac:dyDescent="0.25">
      <c r="A647" s="14"/>
      <c r="B647" s="5"/>
      <c r="C647" s="12"/>
      <c r="D647" s="11"/>
      <c r="E647" s="224"/>
      <c r="F647" s="11"/>
      <c r="G647" s="1"/>
      <c r="H647" s="11"/>
      <c r="I647" s="1"/>
      <c r="J647" s="7"/>
      <c r="K647" s="8"/>
      <c r="L647" s="11"/>
      <c r="M647" s="12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  <c r="Z647" s="14"/>
      <c r="AA647" s="14"/>
      <c r="AB647" s="14"/>
      <c r="AC647" s="14"/>
      <c r="AD647" s="14"/>
      <c r="AE647" s="14"/>
      <c r="AF647" s="14"/>
      <c r="AG647" s="14"/>
      <c r="AH647" s="14"/>
    </row>
    <row r="648" spans="1:34" x14ac:dyDescent="0.25">
      <c r="A648" s="14"/>
      <c r="B648" s="5"/>
      <c r="C648" s="12"/>
      <c r="D648" s="11"/>
      <c r="E648" s="224"/>
      <c r="F648" s="11"/>
      <c r="G648" s="1"/>
      <c r="H648" s="11"/>
      <c r="I648" s="1"/>
      <c r="J648" s="7"/>
      <c r="K648" s="8"/>
      <c r="L648" s="11"/>
      <c r="M648" s="12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  <c r="Z648" s="14"/>
      <c r="AA648" s="14"/>
      <c r="AB648" s="14"/>
      <c r="AC648" s="14"/>
      <c r="AD648" s="14"/>
      <c r="AE648" s="14"/>
      <c r="AF648" s="14"/>
      <c r="AG648" s="14"/>
      <c r="AH648" s="14"/>
    </row>
    <row r="649" spans="1:34" x14ac:dyDescent="0.25">
      <c r="A649" s="14"/>
      <c r="B649" s="5"/>
      <c r="C649" s="12"/>
      <c r="D649" s="11"/>
      <c r="E649" s="224"/>
      <c r="F649" s="11"/>
      <c r="G649" s="1"/>
      <c r="H649" s="11"/>
      <c r="I649" s="1"/>
      <c r="J649" s="7"/>
      <c r="K649" s="8"/>
      <c r="L649" s="11"/>
      <c r="M649" s="12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  <c r="Z649" s="14"/>
      <c r="AA649" s="14"/>
      <c r="AB649" s="14"/>
      <c r="AC649" s="14"/>
      <c r="AD649" s="14"/>
      <c r="AE649" s="14"/>
      <c r="AF649" s="14"/>
      <c r="AG649" s="14"/>
      <c r="AH649" s="14"/>
    </row>
    <row r="650" spans="1:34" x14ac:dyDescent="0.25">
      <c r="A650" s="14"/>
      <c r="B650" s="5"/>
      <c r="C650" s="12"/>
      <c r="D650" s="11"/>
      <c r="E650" s="224"/>
      <c r="F650" s="11"/>
      <c r="G650" s="1"/>
      <c r="H650" s="11"/>
      <c r="I650" s="1"/>
      <c r="J650" s="7"/>
      <c r="K650" s="8"/>
      <c r="L650" s="11"/>
      <c r="M650" s="12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  <c r="Z650" s="14"/>
      <c r="AA650" s="14"/>
      <c r="AB650" s="14"/>
      <c r="AC650" s="14"/>
      <c r="AD650" s="14"/>
      <c r="AE650" s="14"/>
      <c r="AF650" s="14"/>
      <c r="AG650" s="14"/>
      <c r="AH650" s="14"/>
    </row>
    <row r="651" spans="1:34" x14ac:dyDescent="0.25">
      <c r="A651" s="14"/>
      <c r="B651" s="5"/>
      <c r="C651" s="12"/>
      <c r="D651" s="11"/>
      <c r="E651" s="224"/>
      <c r="F651" s="11"/>
      <c r="G651" s="1"/>
      <c r="H651" s="11"/>
      <c r="I651" s="1"/>
      <c r="J651" s="7"/>
      <c r="K651" s="8"/>
      <c r="L651" s="11"/>
      <c r="M651" s="12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  <c r="Z651" s="14"/>
      <c r="AA651" s="14"/>
      <c r="AB651" s="14"/>
      <c r="AC651" s="14"/>
      <c r="AD651" s="14"/>
      <c r="AE651" s="14"/>
      <c r="AF651" s="14"/>
      <c r="AG651" s="14"/>
      <c r="AH651" s="14"/>
    </row>
    <row r="652" spans="1:34" x14ac:dyDescent="0.25">
      <c r="A652" s="14"/>
      <c r="B652" s="5"/>
      <c r="C652" s="12"/>
      <c r="D652" s="11"/>
      <c r="E652" s="224"/>
      <c r="F652" s="11"/>
      <c r="G652" s="1"/>
      <c r="H652" s="11"/>
      <c r="I652" s="1"/>
      <c r="J652" s="7"/>
      <c r="K652" s="8"/>
      <c r="L652" s="11"/>
      <c r="M652" s="12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  <c r="Z652" s="14"/>
      <c r="AA652" s="14"/>
      <c r="AB652" s="14"/>
      <c r="AC652" s="14"/>
      <c r="AD652" s="14"/>
      <c r="AE652" s="14"/>
      <c r="AF652" s="14"/>
      <c r="AG652" s="14"/>
      <c r="AH652" s="14"/>
    </row>
    <row r="653" spans="1:34" x14ac:dyDescent="0.25">
      <c r="A653" s="14"/>
      <c r="B653" s="5"/>
      <c r="C653" s="12"/>
      <c r="D653" s="11"/>
      <c r="E653" s="224"/>
      <c r="F653" s="11"/>
      <c r="G653" s="1"/>
      <c r="H653" s="11"/>
      <c r="I653" s="1"/>
      <c r="J653" s="7"/>
      <c r="K653" s="8"/>
      <c r="L653" s="11"/>
      <c r="M653" s="12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  <c r="Z653" s="14"/>
      <c r="AA653" s="14"/>
      <c r="AB653" s="14"/>
      <c r="AC653" s="14"/>
      <c r="AD653" s="14"/>
      <c r="AE653" s="14"/>
      <c r="AF653" s="14"/>
      <c r="AG653" s="14"/>
      <c r="AH653" s="14"/>
    </row>
    <row r="654" spans="1:34" x14ac:dyDescent="0.25">
      <c r="A654" s="14"/>
      <c r="B654" s="5"/>
      <c r="C654" s="12"/>
      <c r="D654" s="11"/>
      <c r="E654" s="224"/>
      <c r="F654" s="11"/>
      <c r="G654" s="1"/>
      <c r="H654" s="11"/>
      <c r="I654" s="1"/>
      <c r="J654" s="7"/>
      <c r="K654" s="8"/>
      <c r="L654" s="11"/>
      <c r="M654" s="12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  <c r="Z654" s="14"/>
      <c r="AA654" s="14"/>
      <c r="AB654" s="14"/>
      <c r="AC654" s="14"/>
      <c r="AD654" s="14"/>
      <c r="AE654" s="14"/>
      <c r="AF654" s="14"/>
      <c r="AG654" s="14"/>
      <c r="AH654" s="14"/>
    </row>
    <row r="655" spans="1:34" x14ac:dyDescent="0.25">
      <c r="A655" s="14"/>
      <c r="B655" s="5"/>
      <c r="C655" s="12"/>
      <c r="D655" s="11"/>
      <c r="E655" s="224"/>
      <c r="F655" s="11"/>
      <c r="G655" s="1"/>
      <c r="H655" s="11"/>
      <c r="I655" s="1"/>
      <c r="J655" s="7"/>
      <c r="K655" s="8"/>
      <c r="L655" s="11"/>
      <c r="M655" s="12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  <c r="Z655" s="14"/>
      <c r="AA655" s="14"/>
      <c r="AB655" s="14"/>
      <c r="AC655" s="14"/>
      <c r="AD655" s="14"/>
      <c r="AE655" s="14"/>
      <c r="AF655" s="14"/>
      <c r="AG655" s="14"/>
      <c r="AH655" s="14"/>
    </row>
    <row r="656" spans="1:34" x14ac:dyDescent="0.25">
      <c r="A656" s="14"/>
      <c r="B656" s="5"/>
      <c r="C656" s="12"/>
      <c r="D656" s="11"/>
      <c r="E656" s="224"/>
      <c r="F656" s="11"/>
      <c r="G656" s="1"/>
      <c r="H656" s="11"/>
      <c r="I656" s="1"/>
      <c r="J656" s="7"/>
      <c r="K656" s="8"/>
      <c r="L656" s="11"/>
      <c r="M656" s="12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  <c r="Z656" s="14"/>
      <c r="AA656" s="14"/>
      <c r="AB656" s="14"/>
      <c r="AC656" s="14"/>
      <c r="AD656" s="14"/>
      <c r="AE656" s="14"/>
      <c r="AF656" s="14"/>
      <c r="AG656" s="14"/>
      <c r="AH656" s="14"/>
    </row>
    <row r="657" spans="1:34" x14ac:dyDescent="0.25">
      <c r="A657" s="14"/>
      <c r="B657" s="5"/>
      <c r="C657" s="12"/>
      <c r="D657" s="11"/>
      <c r="E657" s="224"/>
      <c r="F657" s="11"/>
      <c r="G657" s="1"/>
      <c r="H657" s="11"/>
      <c r="I657" s="1"/>
      <c r="J657" s="7"/>
      <c r="K657" s="8"/>
      <c r="L657" s="11"/>
      <c r="M657" s="12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  <c r="Z657" s="14"/>
      <c r="AA657" s="14"/>
      <c r="AB657" s="14"/>
      <c r="AC657" s="14"/>
      <c r="AD657" s="14"/>
      <c r="AE657" s="14"/>
      <c r="AF657" s="14"/>
      <c r="AG657" s="14"/>
      <c r="AH657" s="14"/>
    </row>
    <row r="658" spans="1:34" x14ac:dyDescent="0.25">
      <c r="A658" s="14"/>
      <c r="B658" s="5"/>
      <c r="C658" s="12"/>
      <c r="D658" s="11"/>
      <c r="E658" s="224"/>
      <c r="F658" s="11"/>
      <c r="G658" s="1"/>
      <c r="H658" s="11"/>
      <c r="I658" s="1"/>
      <c r="J658" s="7"/>
      <c r="K658" s="8"/>
      <c r="L658" s="11"/>
      <c r="M658" s="12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  <c r="Z658" s="14"/>
      <c r="AA658" s="14"/>
      <c r="AB658" s="14"/>
      <c r="AC658" s="14"/>
      <c r="AD658" s="14"/>
      <c r="AE658" s="14"/>
      <c r="AF658" s="14"/>
      <c r="AG658" s="14"/>
      <c r="AH658" s="14"/>
    </row>
    <row r="659" spans="1:34" x14ac:dyDescent="0.25">
      <c r="A659" s="14"/>
      <c r="B659" s="5"/>
      <c r="C659" s="12"/>
      <c r="D659" s="11"/>
      <c r="E659" s="224"/>
      <c r="F659" s="11"/>
      <c r="G659" s="1"/>
      <c r="H659" s="11"/>
      <c r="I659" s="1"/>
      <c r="J659" s="7"/>
      <c r="K659" s="8"/>
      <c r="L659" s="11"/>
      <c r="M659" s="12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  <c r="Z659" s="14"/>
      <c r="AA659" s="14"/>
      <c r="AB659" s="14"/>
      <c r="AC659" s="14"/>
      <c r="AD659" s="14"/>
      <c r="AE659" s="14"/>
      <c r="AF659" s="14"/>
      <c r="AG659" s="14"/>
      <c r="AH659" s="14"/>
    </row>
    <row r="660" spans="1:34" x14ac:dyDescent="0.25">
      <c r="A660" s="14"/>
      <c r="B660" s="5"/>
      <c r="C660" s="12"/>
      <c r="D660" s="11"/>
      <c r="E660" s="224"/>
      <c r="F660" s="11"/>
      <c r="G660" s="1"/>
      <c r="H660" s="11"/>
      <c r="I660" s="1"/>
      <c r="J660" s="7"/>
      <c r="K660" s="8"/>
      <c r="L660" s="11"/>
      <c r="M660" s="12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  <c r="Z660" s="14"/>
      <c r="AA660" s="14"/>
      <c r="AB660" s="14"/>
      <c r="AC660" s="14"/>
      <c r="AD660" s="14"/>
      <c r="AE660" s="14"/>
      <c r="AF660" s="14"/>
      <c r="AG660" s="14"/>
      <c r="AH660" s="14"/>
    </row>
    <row r="661" spans="1:34" x14ac:dyDescent="0.25">
      <c r="A661" s="14"/>
      <c r="B661" s="5"/>
      <c r="C661" s="12"/>
      <c r="D661" s="11"/>
      <c r="E661" s="224"/>
      <c r="F661" s="11"/>
      <c r="G661" s="1"/>
      <c r="H661" s="11"/>
      <c r="I661" s="1"/>
      <c r="J661" s="7"/>
      <c r="K661" s="8"/>
      <c r="L661" s="11"/>
      <c r="M661" s="12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  <c r="Z661" s="14"/>
      <c r="AA661" s="14"/>
      <c r="AB661" s="14"/>
      <c r="AC661" s="14"/>
      <c r="AD661" s="14"/>
      <c r="AE661" s="14"/>
      <c r="AF661" s="14"/>
      <c r="AG661" s="14"/>
      <c r="AH661" s="14"/>
    </row>
    <row r="662" spans="1:34" x14ac:dyDescent="0.25">
      <c r="A662" s="14"/>
      <c r="B662" s="5"/>
      <c r="C662" s="12"/>
      <c r="D662" s="11"/>
      <c r="E662" s="224"/>
      <c r="F662" s="11"/>
      <c r="G662" s="1"/>
      <c r="H662" s="11"/>
      <c r="I662" s="1"/>
      <c r="J662" s="7"/>
      <c r="K662" s="8"/>
      <c r="L662" s="11"/>
      <c r="M662" s="12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  <c r="Z662" s="14"/>
      <c r="AA662" s="14"/>
      <c r="AB662" s="14"/>
      <c r="AC662" s="14"/>
      <c r="AD662" s="14"/>
      <c r="AE662" s="14"/>
      <c r="AF662" s="14"/>
      <c r="AG662" s="14"/>
      <c r="AH662" s="14"/>
    </row>
    <row r="663" spans="1:34" x14ac:dyDescent="0.25">
      <c r="A663" s="14"/>
      <c r="B663" s="5"/>
      <c r="C663" s="12"/>
      <c r="D663" s="11"/>
      <c r="E663" s="224"/>
      <c r="F663" s="11"/>
      <c r="G663" s="1"/>
      <c r="H663" s="11"/>
      <c r="I663" s="1"/>
      <c r="J663" s="7"/>
      <c r="K663" s="8"/>
      <c r="L663" s="11"/>
      <c r="M663" s="12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  <c r="Z663" s="14"/>
      <c r="AA663" s="14"/>
      <c r="AB663" s="14"/>
      <c r="AC663" s="14"/>
      <c r="AD663" s="14"/>
      <c r="AE663" s="14"/>
      <c r="AF663" s="14"/>
      <c r="AG663" s="14"/>
      <c r="AH663" s="14"/>
    </row>
    <row r="664" spans="1:34" x14ac:dyDescent="0.25">
      <c r="A664" s="14"/>
      <c r="B664" s="5"/>
      <c r="C664" s="12"/>
      <c r="D664" s="11"/>
      <c r="E664" s="224"/>
      <c r="F664" s="11"/>
      <c r="G664" s="1"/>
      <c r="H664" s="11"/>
      <c r="I664" s="1"/>
      <c r="J664" s="7"/>
      <c r="K664" s="8"/>
      <c r="L664" s="11"/>
      <c r="M664" s="12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  <c r="Z664" s="14"/>
      <c r="AA664" s="14"/>
      <c r="AB664" s="14"/>
      <c r="AC664" s="14"/>
      <c r="AD664" s="14"/>
      <c r="AE664" s="14"/>
      <c r="AF664" s="14"/>
      <c r="AG664" s="14"/>
      <c r="AH664" s="14"/>
    </row>
    <row r="665" spans="1:34" x14ac:dyDescent="0.25">
      <c r="A665" s="14"/>
      <c r="B665" s="5"/>
      <c r="C665" s="12"/>
      <c r="D665" s="11"/>
      <c r="E665" s="224"/>
      <c r="F665" s="11"/>
      <c r="G665" s="1"/>
      <c r="H665" s="11"/>
      <c r="I665" s="1"/>
      <c r="J665" s="7"/>
      <c r="K665" s="8"/>
      <c r="L665" s="11"/>
      <c r="M665" s="12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  <c r="Z665" s="14"/>
      <c r="AA665" s="14"/>
      <c r="AB665" s="14"/>
      <c r="AC665" s="14"/>
      <c r="AD665" s="14"/>
      <c r="AE665" s="14"/>
      <c r="AF665" s="14"/>
      <c r="AG665" s="14"/>
      <c r="AH665" s="14"/>
    </row>
    <row r="666" spans="1:34" x14ac:dyDescent="0.25">
      <c r="A666" s="14"/>
      <c r="B666" s="5"/>
      <c r="C666" s="12"/>
      <c r="D666" s="11"/>
      <c r="E666" s="224"/>
      <c r="F666" s="11"/>
      <c r="G666" s="1"/>
      <c r="H666" s="11"/>
      <c r="I666" s="1"/>
      <c r="J666" s="7"/>
      <c r="K666" s="8"/>
      <c r="L666" s="11"/>
      <c r="M666" s="12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  <c r="Z666" s="14"/>
      <c r="AA666" s="14"/>
      <c r="AB666" s="14"/>
      <c r="AC666" s="14"/>
      <c r="AD666" s="14"/>
      <c r="AE666" s="14"/>
      <c r="AF666" s="14"/>
      <c r="AG666" s="14"/>
      <c r="AH666" s="14"/>
    </row>
    <row r="667" spans="1:34" x14ac:dyDescent="0.25">
      <c r="A667" s="14"/>
      <c r="B667" s="5"/>
      <c r="C667" s="12"/>
      <c r="D667" s="11"/>
      <c r="E667" s="224"/>
      <c r="F667" s="11"/>
      <c r="G667" s="1"/>
      <c r="H667" s="11"/>
      <c r="I667" s="1"/>
      <c r="J667" s="7"/>
      <c r="K667" s="8"/>
      <c r="L667" s="11"/>
      <c r="M667" s="12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  <c r="Z667" s="14"/>
      <c r="AA667" s="14"/>
      <c r="AB667" s="14"/>
      <c r="AC667" s="14"/>
      <c r="AD667" s="14"/>
      <c r="AE667" s="14"/>
      <c r="AF667" s="14"/>
      <c r="AG667" s="14"/>
      <c r="AH667" s="14"/>
    </row>
    <row r="668" spans="1:34" x14ac:dyDescent="0.25">
      <c r="A668" s="14"/>
      <c r="B668" s="5"/>
      <c r="C668" s="12"/>
      <c r="D668" s="11"/>
      <c r="E668" s="224"/>
      <c r="F668" s="11"/>
      <c r="G668" s="1"/>
      <c r="H668" s="11"/>
      <c r="I668" s="1"/>
      <c r="J668" s="7"/>
      <c r="K668" s="8"/>
      <c r="L668" s="11"/>
      <c r="M668" s="12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  <c r="Z668" s="14"/>
      <c r="AA668" s="14"/>
      <c r="AB668" s="14"/>
      <c r="AC668" s="14"/>
      <c r="AD668" s="14"/>
      <c r="AE668" s="14"/>
      <c r="AF668" s="14"/>
      <c r="AG668" s="14"/>
      <c r="AH668" s="14"/>
    </row>
    <row r="669" spans="1:34" x14ac:dyDescent="0.25">
      <c r="A669" s="14"/>
      <c r="B669" s="5"/>
      <c r="C669" s="12"/>
      <c r="D669" s="11"/>
      <c r="E669" s="224"/>
      <c r="F669" s="11"/>
      <c r="G669" s="1"/>
      <c r="H669" s="11"/>
      <c r="I669" s="1"/>
      <c r="J669" s="7"/>
      <c r="K669" s="8"/>
      <c r="L669" s="11"/>
      <c r="M669" s="12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  <c r="Z669" s="14"/>
      <c r="AA669" s="14"/>
      <c r="AB669" s="14"/>
      <c r="AC669" s="14"/>
      <c r="AD669" s="14"/>
      <c r="AE669" s="14"/>
      <c r="AF669" s="14"/>
      <c r="AG669" s="14"/>
      <c r="AH669" s="14"/>
    </row>
    <row r="670" spans="1:34" x14ac:dyDescent="0.25">
      <c r="A670" s="14"/>
      <c r="B670" s="5"/>
      <c r="C670" s="12"/>
      <c r="D670" s="11"/>
      <c r="E670" s="224"/>
      <c r="F670" s="11"/>
      <c r="G670" s="1"/>
      <c r="H670" s="11"/>
      <c r="I670" s="1"/>
      <c r="J670" s="7"/>
      <c r="K670" s="8"/>
      <c r="L670" s="11"/>
      <c r="M670" s="12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  <c r="Z670" s="14"/>
      <c r="AA670" s="14"/>
      <c r="AB670" s="14"/>
      <c r="AC670" s="14"/>
      <c r="AD670" s="14"/>
      <c r="AE670" s="14"/>
      <c r="AF670" s="14"/>
      <c r="AG670" s="14"/>
      <c r="AH670" s="14"/>
    </row>
    <row r="671" spans="1:34" x14ac:dyDescent="0.25">
      <c r="A671" s="14"/>
      <c r="B671" s="5"/>
      <c r="C671" s="12"/>
      <c r="D671" s="11"/>
      <c r="E671" s="224"/>
      <c r="F671" s="11"/>
      <c r="G671" s="1"/>
      <c r="H671" s="11"/>
      <c r="I671" s="1"/>
      <c r="J671" s="7"/>
      <c r="K671" s="8"/>
      <c r="L671" s="11"/>
      <c r="M671" s="12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  <c r="Z671" s="14"/>
      <c r="AA671" s="14"/>
      <c r="AB671" s="14"/>
      <c r="AC671" s="14"/>
      <c r="AD671" s="14"/>
      <c r="AE671" s="14"/>
      <c r="AF671" s="14"/>
      <c r="AG671" s="14"/>
      <c r="AH671" s="14"/>
    </row>
    <row r="672" spans="1:34" x14ac:dyDescent="0.25">
      <c r="A672" s="14"/>
      <c r="B672" s="5"/>
      <c r="C672" s="12"/>
      <c r="D672" s="11"/>
      <c r="E672" s="224"/>
      <c r="F672" s="11"/>
      <c r="G672" s="1"/>
      <c r="H672" s="11"/>
      <c r="I672" s="1"/>
      <c r="J672" s="7"/>
      <c r="K672" s="8"/>
      <c r="L672" s="11"/>
      <c r="M672" s="12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  <c r="Z672" s="14"/>
      <c r="AA672" s="14"/>
      <c r="AB672" s="14"/>
      <c r="AC672" s="14"/>
      <c r="AD672" s="14"/>
      <c r="AE672" s="14"/>
      <c r="AF672" s="14"/>
      <c r="AG672" s="14"/>
      <c r="AH672" s="14"/>
    </row>
    <row r="673" spans="1:34" x14ac:dyDescent="0.25">
      <c r="A673" s="14"/>
      <c r="B673" s="5"/>
      <c r="C673" s="12"/>
      <c r="D673" s="11"/>
      <c r="E673" s="224"/>
      <c r="F673" s="11"/>
      <c r="G673" s="1"/>
      <c r="H673" s="11"/>
      <c r="I673" s="1"/>
      <c r="J673" s="7"/>
      <c r="K673" s="8"/>
      <c r="L673" s="11"/>
      <c r="M673" s="12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  <c r="Z673" s="14"/>
      <c r="AA673" s="14"/>
      <c r="AB673" s="14"/>
      <c r="AC673" s="14"/>
      <c r="AD673" s="14"/>
      <c r="AE673" s="14"/>
      <c r="AF673" s="14"/>
      <c r="AG673" s="14"/>
      <c r="AH673" s="14"/>
    </row>
    <row r="674" spans="1:34" x14ac:dyDescent="0.25">
      <c r="A674" s="14"/>
      <c r="B674" s="5"/>
      <c r="C674" s="12"/>
      <c r="D674" s="11"/>
      <c r="E674" s="224"/>
      <c r="F674" s="11"/>
      <c r="G674" s="1"/>
      <c r="H674" s="11"/>
      <c r="I674" s="1"/>
      <c r="J674" s="7"/>
      <c r="K674" s="8"/>
      <c r="L674" s="11"/>
      <c r="M674" s="12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  <c r="Z674" s="14"/>
      <c r="AA674" s="14"/>
      <c r="AB674" s="14"/>
      <c r="AC674" s="14"/>
      <c r="AD674" s="14"/>
      <c r="AE674" s="14"/>
      <c r="AF674" s="14"/>
      <c r="AG674" s="14"/>
      <c r="AH674" s="14"/>
    </row>
    <row r="675" spans="1:34" x14ac:dyDescent="0.25">
      <c r="A675" s="14"/>
      <c r="B675" s="5"/>
      <c r="C675" s="12"/>
      <c r="D675" s="11"/>
      <c r="E675" s="224"/>
      <c r="F675" s="11"/>
      <c r="G675" s="1"/>
      <c r="H675" s="11"/>
      <c r="I675" s="1"/>
      <c r="J675" s="7"/>
      <c r="K675" s="8"/>
      <c r="L675" s="11"/>
      <c r="M675" s="12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  <c r="Z675" s="14"/>
      <c r="AA675" s="14"/>
      <c r="AB675" s="14"/>
      <c r="AC675" s="14"/>
      <c r="AD675" s="14"/>
      <c r="AE675" s="14"/>
      <c r="AF675" s="14"/>
      <c r="AG675" s="14"/>
      <c r="AH675" s="14"/>
    </row>
    <row r="676" spans="1:34" x14ac:dyDescent="0.25">
      <c r="A676" s="14"/>
      <c r="B676" s="5"/>
      <c r="C676" s="12"/>
      <c r="D676" s="11"/>
      <c r="E676" s="224"/>
      <c r="F676" s="11"/>
      <c r="G676" s="1"/>
      <c r="H676" s="11"/>
      <c r="I676" s="1"/>
      <c r="J676" s="7"/>
      <c r="K676" s="8"/>
      <c r="L676" s="11"/>
      <c r="M676" s="12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  <c r="Z676" s="14"/>
      <c r="AA676" s="14"/>
      <c r="AB676" s="14"/>
      <c r="AC676" s="14"/>
      <c r="AD676" s="14"/>
      <c r="AE676" s="14"/>
      <c r="AF676" s="14"/>
      <c r="AG676" s="14"/>
      <c r="AH676" s="14"/>
    </row>
    <row r="677" spans="1:34" x14ac:dyDescent="0.25">
      <c r="A677" s="14"/>
      <c r="B677" s="5"/>
      <c r="C677" s="12"/>
      <c r="D677" s="11"/>
      <c r="E677" s="224"/>
      <c r="F677" s="11"/>
      <c r="G677" s="1"/>
      <c r="H677" s="11"/>
      <c r="I677" s="1"/>
      <c r="J677" s="7"/>
      <c r="K677" s="8"/>
      <c r="L677" s="11"/>
      <c r="M677" s="12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  <c r="Z677" s="14"/>
      <c r="AA677" s="14"/>
      <c r="AB677" s="14"/>
      <c r="AC677" s="14"/>
      <c r="AD677" s="14"/>
      <c r="AE677" s="14"/>
      <c r="AF677" s="14"/>
      <c r="AG677" s="14"/>
      <c r="AH677" s="14"/>
    </row>
    <row r="678" spans="1:34" x14ac:dyDescent="0.25">
      <c r="A678" s="14"/>
      <c r="B678" s="5"/>
      <c r="C678" s="12"/>
      <c r="D678" s="11"/>
      <c r="E678" s="224"/>
      <c r="F678" s="11"/>
      <c r="G678" s="1"/>
      <c r="H678" s="11"/>
      <c r="I678" s="1"/>
      <c r="J678" s="7"/>
      <c r="K678" s="8"/>
      <c r="L678" s="11"/>
      <c r="M678" s="12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  <c r="Z678" s="14"/>
      <c r="AA678" s="14"/>
      <c r="AB678" s="14"/>
      <c r="AC678" s="14"/>
      <c r="AD678" s="14"/>
      <c r="AE678" s="14"/>
      <c r="AF678" s="14"/>
      <c r="AG678" s="14"/>
      <c r="AH678" s="14"/>
    </row>
    <row r="679" spans="1:34" x14ac:dyDescent="0.25">
      <c r="A679" s="14"/>
      <c r="B679" s="5"/>
      <c r="C679" s="12"/>
      <c r="D679" s="11"/>
      <c r="E679" s="224"/>
      <c r="F679" s="11"/>
      <c r="G679" s="1"/>
      <c r="H679" s="11"/>
      <c r="I679" s="1"/>
      <c r="J679" s="7"/>
      <c r="K679" s="8"/>
      <c r="L679" s="11"/>
      <c r="M679" s="12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  <c r="Z679" s="14"/>
      <c r="AA679" s="14"/>
      <c r="AB679" s="14"/>
      <c r="AC679" s="14"/>
      <c r="AD679" s="14"/>
      <c r="AE679" s="14"/>
      <c r="AF679" s="14"/>
      <c r="AG679" s="14"/>
      <c r="AH679" s="14"/>
    </row>
    <row r="680" spans="1:34" x14ac:dyDescent="0.25">
      <c r="A680" s="14"/>
      <c r="B680" s="5"/>
      <c r="C680" s="12"/>
      <c r="D680" s="11"/>
      <c r="E680" s="224"/>
      <c r="F680" s="11"/>
      <c r="G680" s="1"/>
      <c r="H680" s="11"/>
      <c r="I680" s="1"/>
      <c r="J680" s="7"/>
      <c r="K680" s="8"/>
      <c r="L680" s="11"/>
      <c r="M680" s="12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  <c r="Z680" s="14"/>
      <c r="AA680" s="14"/>
      <c r="AB680" s="14"/>
      <c r="AC680" s="14"/>
      <c r="AD680" s="14"/>
      <c r="AE680" s="14"/>
      <c r="AF680" s="14"/>
      <c r="AG680" s="14"/>
      <c r="AH680" s="14"/>
    </row>
    <row r="681" spans="1:34" x14ac:dyDescent="0.25">
      <c r="A681" s="14"/>
      <c r="B681" s="5"/>
      <c r="C681" s="12"/>
      <c r="D681" s="11"/>
      <c r="E681" s="224"/>
      <c r="F681" s="11"/>
      <c r="G681" s="1"/>
      <c r="H681" s="11"/>
      <c r="I681" s="1"/>
      <c r="J681" s="7"/>
      <c r="K681" s="8"/>
      <c r="L681" s="11"/>
      <c r="M681" s="12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  <c r="Z681" s="14"/>
      <c r="AA681" s="14"/>
      <c r="AB681" s="14"/>
      <c r="AC681" s="14"/>
      <c r="AD681" s="14"/>
      <c r="AE681" s="14"/>
      <c r="AF681" s="14"/>
      <c r="AG681" s="14"/>
      <c r="AH681" s="14"/>
    </row>
    <row r="682" spans="1:34" x14ac:dyDescent="0.25">
      <c r="A682" s="14"/>
      <c r="B682" s="5"/>
      <c r="C682" s="12"/>
      <c r="D682" s="11"/>
      <c r="E682" s="224"/>
      <c r="F682" s="11"/>
      <c r="G682" s="1"/>
      <c r="H682" s="11"/>
      <c r="I682" s="1"/>
      <c r="J682" s="7"/>
      <c r="K682" s="8"/>
      <c r="L682" s="11"/>
      <c r="M682" s="12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  <c r="Z682" s="14"/>
      <c r="AA682" s="14"/>
      <c r="AB682" s="14"/>
      <c r="AC682" s="14"/>
      <c r="AD682" s="14"/>
      <c r="AE682" s="14"/>
      <c r="AF682" s="14"/>
      <c r="AG682" s="14"/>
      <c r="AH682" s="14"/>
    </row>
    <row r="683" spans="1:34" x14ac:dyDescent="0.25">
      <c r="A683" s="14"/>
      <c r="B683" s="5"/>
      <c r="C683" s="12"/>
      <c r="D683" s="11"/>
      <c r="E683" s="224"/>
      <c r="F683" s="11"/>
      <c r="G683" s="1"/>
      <c r="H683" s="11"/>
      <c r="I683" s="1"/>
      <c r="J683" s="7"/>
      <c r="K683" s="8"/>
      <c r="L683" s="11"/>
      <c r="M683" s="12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  <c r="Z683" s="14"/>
      <c r="AA683" s="14"/>
      <c r="AB683" s="14"/>
      <c r="AC683" s="14"/>
      <c r="AD683" s="14"/>
      <c r="AE683" s="14"/>
      <c r="AF683" s="14"/>
      <c r="AG683" s="14"/>
      <c r="AH683" s="14"/>
    </row>
    <row r="684" spans="1:34" x14ac:dyDescent="0.25">
      <c r="A684" s="14"/>
      <c r="B684" s="5"/>
      <c r="C684" s="12"/>
      <c r="D684" s="11"/>
      <c r="E684" s="224"/>
      <c r="F684" s="11"/>
      <c r="G684" s="1"/>
      <c r="H684" s="11"/>
      <c r="I684" s="1"/>
      <c r="J684" s="7"/>
      <c r="K684" s="8"/>
      <c r="L684" s="11"/>
      <c r="M684" s="12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  <c r="Z684" s="14"/>
      <c r="AA684" s="14"/>
      <c r="AB684" s="14"/>
      <c r="AC684" s="14"/>
      <c r="AD684" s="14"/>
      <c r="AE684" s="14"/>
      <c r="AF684" s="14"/>
      <c r="AG684" s="14"/>
      <c r="AH684" s="14"/>
    </row>
    <row r="685" spans="1:34" x14ac:dyDescent="0.25">
      <c r="A685" s="14"/>
      <c r="B685" s="5"/>
      <c r="C685" s="12"/>
      <c r="D685" s="11"/>
      <c r="E685" s="224"/>
      <c r="F685" s="11"/>
      <c r="G685" s="1"/>
      <c r="H685" s="11"/>
      <c r="I685" s="1"/>
      <c r="J685" s="7"/>
      <c r="K685" s="8"/>
      <c r="L685" s="11"/>
      <c r="M685" s="12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  <c r="Z685" s="14"/>
      <c r="AA685" s="14"/>
      <c r="AB685" s="14"/>
      <c r="AC685" s="14"/>
      <c r="AD685" s="14"/>
      <c r="AE685" s="14"/>
      <c r="AF685" s="14"/>
      <c r="AG685" s="14"/>
      <c r="AH685" s="14"/>
    </row>
    <row r="686" spans="1:34" x14ac:dyDescent="0.25">
      <c r="A686" s="14"/>
      <c r="B686" s="5"/>
      <c r="C686" s="12"/>
      <c r="D686" s="11"/>
      <c r="E686" s="224"/>
      <c r="F686" s="11"/>
      <c r="G686" s="1"/>
      <c r="H686" s="11"/>
      <c r="I686" s="1"/>
      <c r="J686" s="7"/>
      <c r="K686" s="8"/>
      <c r="L686" s="11"/>
      <c r="M686" s="12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  <c r="Z686" s="14"/>
      <c r="AA686" s="14"/>
      <c r="AB686" s="14"/>
      <c r="AC686" s="14"/>
      <c r="AD686" s="14"/>
      <c r="AE686" s="14"/>
      <c r="AF686" s="14"/>
      <c r="AG686" s="14"/>
      <c r="AH686" s="14"/>
    </row>
    <row r="687" spans="1:34" x14ac:dyDescent="0.25">
      <c r="A687" s="14"/>
      <c r="B687" s="5"/>
      <c r="C687" s="12"/>
      <c r="D687" s="11"/>
      <c r="E687" s="224"/>
      <c r="F687" s="11"/>
      <c r="G687" s="1"/>
      <c r="H687" s="11"/>
      <c r="I687" s="1"/>
      <c r="J687" s="7"/>
      <c r="K687" s="8"/>
      <c r="L687" s="11"/>
      <c r="M687" s="12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  <c r="Z687" s="14"/>
      <c r="AA687" s="14"/>
      <c r="AB687" s="14"/>
      <c r="AC687" s="14"/>
      <c r="AD687" s="14"/>
      <c r="AE687" s="14"/>
      <c r="AF687" s="14"/>
      <c r="AG687" s="14"/>
      <c r="AH687" s="14"/>
    </row>
    <row r="688" spans="1:34" x14ac:dyDescent="0.25">
      <c r="A688" s="14"/>
      <c r="B688" s="5"/>
      <c r="C688" s="12"/>
      <c r="D688" s="11"/>
      <c r="E688" s="224"/>
      <c r="F688" s="11"/>
      <c r="G688" s="1"/>
      <c r="H688" s="11"/>
      <c r="I688" s="1"/>
      <c r="J688" s="7"/>
      <c r="K688" s="8"/>
      <c r="L688" s="11"/>
      <c r="M688" s="12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  <c r="Z688" s="14"/>
      <c r="AA688" s="14"/>
      <c r="AB688" s="14"/>
      <c r="AC688" s="14"/>
      <c r="AD688" s="14"/>
      <c r="AE688" s="14"/>
      <c r="AF688" s="14"/>
      <c r="AG688" s="14"/>
      <c r="AH688" s="14"/>
    </row>
    <row r="689" spans="1:34" x14ac:dyDescent="0.25">
      <c r="A689" s="14"/>
      <c r="B689" s="5"/>
      <c r="C689" s="12"/>
      <c r="D689" s="11"/>
      <c r="E689" s="224"/>
      <c r="F689" s="11"/>
      <c r="G689" s="1"/>
      <c r="H689" s="11"/>
      <c r="I689" s="1"/>
      <c r="J689" s="7"/>
      <c r="K689" s="8"/>
      <c r="L689" s="11"/>
      <c r="M689" s="12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  <c r="Z689" s="14"/>
      <c r="AA689" s="14"/>
      <c r="AB689" s="14"/>
      <c r="AC689" s="14"/>
      <c r="AD689" s="14"/>
      <c r="AE689" s="14"/>
      <c r="AF689" s="14"/>
      <c r="AG689" s="14"/>
      <c r="AH689" s="14"/>
    </row>
    <row r="690" spans="1:34" x14ac:dyDescent="0.25">
      <c r="A690" s="14"/>
      <c r="B690" s="5"/>
      <c r="C690" s="12"/>
      <c r="D690" s="11"/>
      <c r="E690" s="224"/>
      <c r="F690" s="11"/>
      <c r="G690" s="1"/>
      <c r="H690" s="11"/>
      <c r="I690" s="1"/>
      <c r="J690" s="7"/>
      <c r="K690" s="8"/>
      <c r="L690" s="11"/>
      <c r="M690" s="12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  <c r="Z690" s="14"/>
      <c r="AA690" s="14"/>
      <c r="AB690" s="14"/>
      <c r="AC690" s="14"/>
      <c r="AD690" s="14"/>
      <c r="AE690" s="14"/>
      <c r="AF690" s="14"/>
      <c r="AG690" s="14"/>
      <c r="AH690" s="14"/>
    </row>
    <row r="691" spans="1:34" x14ac:dyDescent="0.25">
      <c r="A691" s="14"/>
      <c r="B691" s="5"/>
      <c r="C691" s="12"/>
      <c r="D691" s="11"/>
      <c r="E691" s="224"/>
      <c r="F691" s="11"/>
      <c r="G691" s="1"/>
      <c r="H691" s="11"/>
      <c r="I691" s="1"/>
      <c r="J691" s="7"/>
      <c r="K691" s="8"/>
      <c r="L691" s="11"/>
      <c r="M691" s="12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  <c r="Z691" s="14"/>
      <c r="AA691" s="14"/>
      <c r="AB691" s="14"/>
      <c r="AC691" s="14"/>
      <c r="AD691" s="14"/>
      <c r="AE691" s="14"/>
      <c r="AF691" s="14"/>
      <c r="AG691" s="14"/>
      <c r="AH691" s="14"/>
    </row>
    <row r="692" spans="1:34" x14ac:dyDescent="0.25">
      <c r="A692" s="14"/>
      <c r="B692" s="5"/>
      <c r="C692" s="12"/>
      <c r="D692" s="11"/>
      <c r="E692" s="224"/>
      <c r="F692" s="11"/>
      <c r="G692" s="1"/>
      <c r="H692" s="11"/>
      <c r="I692" s="1"/>
      <c r="J692" s="7"/>
      <c r="K692" s="8"/>
      <c r="L692" s="11"/>
      <c r="M692" s="12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  <c r="Z692" s="14"/>
      <c r="AA692" s="14"/>
      <c r="AB692" s="14"/>
      <c r="AC692" s="14"/>
      <c r="AD692" s="14"/>
      <c r="AE692" s="14"/>
      <c r="AF692" s="14"/>
      <c r="AG692" s="14"/>
      <c r="AH692" s="14"/>
    </row>
    <row r="693" spans="1:34" x14ac:dyDescent="0.25">
      <c r="A693" s="14"/>
      <c r="B693" s="5"/>
      <c r="C693" s="12"/>
      <c r="D693" s="11"/>
      <c r="E693" s="224"/>
      <c r="F693" s="11"/>
      <c r="G693" s="1"/>
      <c r="H693" s="11"/>
      <c r="I693" s="1"/>
      <c r="J693" s="7"/>
      <c r="K693" s="8"/>
      <c r="L693" s="11"/>
      <c r="M693" s="12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  <c r="Z693" s="14"/>
      <c r="AA693" s="14"/>
      <c r="AB693" s="14"/>
      <c r="AC693" s="14"/>
      <c r="AD693" s="14"/>
      <c r="AE693" s="14"/>
      <c r="AF693" s="14"/>
      <c r="AG693" s="14"/>
      <c r="AH693" s="14"/>
    </row>
    <row r="694" spans="1:34" x14ac:dyDescent="0.25">
      <c r="A694" s="14"/>
      <c r="B694" s="5"/>
      <c r="C694" s="12"/>
      <c r="D694" s="11"/>
      <c r="E694" s="224"/>
      <c r="F694" s="11"/>
      <c r="G694" s="1"/>
      <c r="H694" s="11"/>
      <c r="I694" s="1"/>
      <c r="J694" s="7"/>
      <c r="K694" s="8"/>
      <c r="L694" s="11"/>
      <c r="M694" s="12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  <c r="Z694" s="14"/>
      <c r="AA694" s="14"/>
      <c r="AB694" s="14"/>
      <c r="AC694" s="14"/>
      <c r="AD694" s="14"/>
      <c r="AE694" s="14"/>
      <c r="AF694" s="14"/>
      <c r="AG694" s="14"/>
      <c r="AH694" s="14"/>
    </row>
    <row r="695" spans="1:34" x14ac:dyDescent="0.25">
      <c r="A695" s="14"/>
      <c r="B695" s="5"/>
      <c r="C695" s="12"/>
      <c r="D695" s="11"/>
      <c r="E695" s="224"/>
      <c r="F695" s="11"/>
      <c r="G695" s="1"/>
      <c r="H695" s="11"/>
      <c r="I695" s="1"/>
      <c r="J695" s="7"/>
      <c r="K695" s="8"/>
      <c r="L695" s="11"/>
      <c r="M695" s="12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  <c r="Z695" s="14"/>
      <c r="AA695" s="14"/>
      <c r="AB695" s="14"/>
      <c r="AC695" s="14"/>
      <c r="AD695" s="14"/>
      <c r="AE695" s="14"/>
      <c r="AF695" s="14"/>
      <c r="AG695" s="14"/>
      <c r="AH695" s="14"/>
    </row>
    <row r="696" spans="1:34" x14ac:dyDescent="0.25">
      <c r="A696" s="14"/>
      <c r="B696" s="5"/>
      <c r="C696" s="12"/>
      <c r="D696" s="11"/>
      <c r="E696" s="224"/>
      <c r="F696" s="11"/>
      <c r="G696" s="1"/>
      <c r="H696" s="11"/>
      <c r="I696" s="1"/>
      <c r="J696" s="7"/>
      <c r="K696" s="8"/>
      <c r="L696" s="11"/>
      <c r="M696" s="12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  <c r="Z696" s="14"/>
      <c r="AA696" s="14"/>
      <c r="AB696" s="14"/>
      <c r="AC696" s="14"/>
      <c r="AD696" s="14"/>
      <c r="AE696" s="14"/>
      <c r="AF696" s="14"/>
      <c r="AG696" s="14"/>
      <c r="AH696" s="14"/>
    </row>
    <row r="697" spans="1:34" x14ac:dyDescent="0.25">
      <c r="A697" s="14"/>
      <c r="B697" s="5"/>
      <c r="C697" s="12"/>
      <c r="D697" s="11"/>
      <c r="E697" s="224"/>
      <c r="F697" s="11"/>
      <c r="G697" s="1"/>
      <c r="H697" s="11"/>
      <c r="I697" s="1"/>
      <c r="J697" s="7"/>
      <c r="K697" s="8"/>
      <c r="L697" s="11"/>
      <c r="M697" s="12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  <c r="Z697" s="14"/>
      <c r="AA697" s="14"/>
      <c r="AB697" s="14"/>
      <c r="AC697" s="14"/>
      <c r="AD697" s="14"/>
      <c r="AE697" s="14"/>
      <c r="AF697" s="14"/>
      <c r="AG697" s="14"/>
      <c r="AH697" s="14"/>
    </row>
    <row r="698" spans="1:34" x14ac:dyDescent="0.25">
      <c r="A698" s="14"/>
      <c r="B698" s="5"/>
      <c r="C698" s="12"/>
      <c r="D698" s="11"/>
      <c r="E698" s="224"/>
      <c r="F698" s="11"/>
      <c r="G698" s="1"/>
      <c r="H698" s="11"/>
      <c r="I698" s="1"/>
      <c r="J698" s="7"/>
      <c r="K698" s="8"/>
      <c r="L698" s="11"/>
      <c r="M698" s="12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  <c r="Z698" s="14"/>
      <c r="AA698" s="14"/>
      <c r="AB698" s="14"/>
      <c r="AC698" s="14"/>
      <c r="AD698" s="14"/>
      <c r="AE698" s="14"/>
      <c r="AF698" s="14"/>
      <c r="AG698" s="14"/>
      <c r="AH698" s="14"/>
    </row>
    <row r="699" spans="1:34" x14ac:dyDescent="0.25">
      <c r="A699" s="14"/>
      <c r="B699" s="5"/>
      <c r="C699" s="12"/>
      <c r="D699" s="11"/>
      <c r="E699" s="224"/>
      <c r="F699" s="11"/>
      <c r="G699" s="1"/>
      <c r="H699" s="11"/>
      <c r="I699" s="1"/>
      <c r="J699" s="7"/>
      <c r="K699" s="8"/>
      <c r="L699" s="11"/>
      <c r="M699" s="12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  <c r="Z699" s="14"/>
      <c r="AA699" s="14"/>
      <c r="AB699" s="14"/>
      <c r="AC699" s="14"/>
      <c r="AD699" s="14"/>
      <c r="AE699" s="14"/>
      <c r="AF699" s="14"/>
      <c r="AG699" s="14"/>
      <c r="AH699" s="14"/>
    </row>
    <row r="700" spans="1:34" x14ac:dyDescent="0.25">
      <c r="A700" s="14"/>
      <c r="B700" s="5"/>
      <c r="C700" s="12"/>
      <c r="D700" s="11"/>
      <c r="E700" s="224"/>
      <c r="F700" s="11"/>
      <c r="G700" s="1"/>
      <c r="H700" s="11"/>
      <c r="I700" s="1"/>
      <c r="J700" s="7"/>
      <c r="K700" s="8"/>
      <c r="L700" s="11"/>
      <c r="M700" s="12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  <c r="Z700" s="14"/>
      <c r="AA700" s="14"/>
      <c r="AB700" s="14"/>
      <c r="AC700" s="14"/>
      <c r="AD700" s="14"/>
      <c r="AE700" s="14"/>
      <c r="AF700" s="14"/>
      <c r="AG700" s="14"/>
      <c r="AH700" s="14"/>
    </row>
    <row r="701" spans="1:34" x14ac:dyDescent="0.25">
      <c r="A701" s="14"/>
      <c r="B701" s="5"/>
      <c r="C701" s="12"/>
      <c r="D701" s="11"/>
      <c r="E701" s="224"/>
      <c r="F701" s="11"/>
      <c r="G701" s="1"/>
      <c r="H701" s="11"/>
      <c r="I701" s="1"/>
      <c r="J701" s="7"/>
      <c r="K701" s="8"/>
      <c r="L701" s="11"/>
      <c r="M701" s="12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  <c r="Z701" s="14"/>
      <c r="AA701" s="14"/>
      <c r="AB701" s="14"/>
      <c r="AC701" s="14"/>
      <c r="AD701" s="14"/>
      <c r="AE701" s="14"/>
      <c r="AF701" s="14"/>
      <c r="AG701" s="14"/>
      <c r="AH701" s="14"/>
    </row>
    <row r="702" spans="1:34" x14ac:dyDescent="0.25">
      <c r="A702" s="14"/>
      <c r="B702" s="5"/>
      <c r="C702" s="12"/>
      <c r="D702" s="11"/>
      <c r="E702" s="224"/>
      <c r="F702" s="11"/>
      <c r="G702" s="1"/>
      <c r="H702" s="11"/>
      <c r="I702" s="1"/>
      <c r="J702" s="7"/>
      <c r="K702" s="8"/>
      <c r="L702" s="11"/>
      <c r="M702" s="12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  <c r="Z702" s="14"/>
      <c r="AA702" s="14"/>
      <c r="AB702" s="14"/>
      <c r="AC702" s="14"/>
      <c r="AD702" s="14"/>
      <c r="AE702" s="14"/>
      <c r="AF702" s="14"/>
      <c r="AG702" s="14"/>
      <c r="AH702" s="14"/>
    </row>
    <row r="703" spans="1:34" x14ac:dyDescent="0.25">
      <c r="A703" s="14"/>
      <c r="B703" s="5"/>
      <c r="C703" s="12"/>
      <c r="D703" s="11"/>
      <c r="E703" s="224"/>
      <c r="F703" s="11"/>
      <c r="G703" s="1"/>
      <c r="H703" s="11"/>
      <c r="I703" s="1"/>
      <c r="J703" s="7"/>
      <c r="K703" s="8"/>
      <c r="L703" s="11"/>
      <c r="M703" s="12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  <c r="Z703" s="14"/>
      <c r="AA703" s="14"/>
      <c r="AB703" s="14"/>
      <c r="AC703" s="14"/>
      <c r="AD703" s="14"/>
      <c r="AE703" s="14"/>
      <c r="AF703" s="14"/>
      <c r="AG703" s="14"/>
      <c r="AH703" s="14"/>
    </row>
    <row r="704" spans="1:34" x14ac:dyDescent="0.25">
      <c r="A704" s="14"/>
      <c r="B704" s="5"/>
      <c r="C704" s="12"/>
      <c r="D704" s="11"/>
      <c r="E704" s="224"/>
      <c r="F704" s="11"/>
      <c r="G704" s="1"/>
      <c r="H704" s="11"/>
      <c r="I704" s="1"/>
      <c r="J704" s="7"/>
      <c r="K704" s="8"/>
      <c r="L704" s="11"/>
      <c r="M704" s="12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  <c r="Z704" s="14"/>
      <c r="AA704" s="14"/>
      <c r="AB704" s="14"/>
      <c r="AC704" s="14"/>
      <c r="AD704" s="14"/>
      <c r="AE704" s="14"/>
      <c r="AF704" s="14"/>
      <c r="AG704" s="14"/>
      <c r="AH704" s="14"/>
    </row>
    <row r="705" spans="1:34" x14ac:dyDescent="0.25">
      <c r="A705" s="14"/>
      <c r="B705" s="5"/>
      <c r="C705" s="12"/>
      <c r="D705" s="11"/>
      <c r="E705" s="224"/>
      <c r="F705" s="11"/>
      <c r="G705" s="1"/>
      <c r="H705" s="11"/>
      <c r="I705" s="1"/>
      <c r="J705" s="7"/>
      <c r="K705" s="8"/>
      <c r="L705" s="11"/>
      <c r="M705" s="12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  <c r="Z705" s="14"/>
      <c r="AA705" s="14"/>
      <c r="AB705" s="14"/>
      <c r="AC705" s="14"/>
      <c r="AD705" s="14"/>
      <c r="AE705" s="14"/>
      <c r="AF705" s="14"/>
      <c r="AG705" s="14"/>
      <c r="AH705" s="14"/>
    </row>
    <row r="706" spans="1:34" x14ac:dyDescent="0.25">
      <c r="A706" s="14"/>
      <c r="B706" s="5"/>
      <c r="C706" s="12"/>
      <c r="D706" s="11"/>
      <c r="E706" s="224"/>
      <c r="F706" s="11"/>
      <c r="G706" s="1"/>
      <c r="H706" s="11"/>
      <c r="I706" s="1"/>
      <c r="J706" s="7"/>
      <c r="K706" s="8"/>
      <c r="L706" s="11"/>
      <c r="M706" s="12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  <c r="Z706" s="14"/>
      <c r="AA706" s="14"/>
      <c r="AB706" s="14"/>
      <c r="AC706" s="14"/>
      <c r="AD706" s="14"/>
      <c r="AE706" s="14"/>
      <c r="AF706" s="14"/>
      <c r="AG706" s="14"/>
      <c r="AH706" s="14"/>
    </row>
    <row r="707" spans="1:34" x14ac:dyDescent="0.25">
      <c r="A707" s="14"/>
      <c r="B707" s="5"/>
      <c r="C707" s="12"/>
      <c r="D707" s="11"/>
      <c r="E707" s="224"/>
      <c r="F707" s="11"/>
      <c r="G707" s="1"/>
      <c r="H707" s="11"/>
      <c r="I707" s="1"/>
      <c r="J707" s="7"/>
      <c r="K707" s="8"/>
      <c r="L707" s="11"/>
      <c r="M707" s="12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  <c r="Z707" s="14"/>
      <c r="AA707" s="14"/>
      <c r="AB707" s="14"/>
      <c r="AC707" s="14"/>
      <c r="AD707" s="14"/>
      <c r="AE707" s="14"/>
      <c r="AF707" s="14"/>
      <c r="AG707" s="14"/>
      <c r="AH707" s="14"/>
    </row>
    <row r="708" spans="1:34" x14ac:dyDescent="0.25">
      <c r="A708" s="14"/>
      <c r="B708" s="5"/>
      <c r="C708" s="12"/>
      <c r="D708" s="11"/>
      <c r="E708" s="224"/>
      <c r="F708" s="11"/>
      <c r="G708" s="1"/>
      <c r="H708" s="11"/>
      <c r="I708" s="1"/>
      <c r="J708" s="7"/>
      <c r="K708" s="8"/>
      <c r="L708" s="11"/>
      <c r="M708" s="12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  <c r="Z708" s="14"/>
      <c r="AA708" s="14"/>
      <c r="AB708" s="14"/>
      <c r="AC708" s="14"/>
      <c r="AD708" s="14"/>
      <c r="AE708" s="14"/>
      <c r="AF708" s="14"/>
      <c r="AG708" s="14"/>
      <c r="AH708" s="14"/>
    </row>
    <row r="709" spans="1:34" x14ac:dyDescent="0.25">
      <c r="A709" s="14"/>
      <c r="B709" s="5"/>
      <c r="C709" s="12"/>
      <c r="D709" s="11"/>
      <c r="E709" s="224"/>
      <c r="F709" s="11"/>
      <c r="G709" s="1"/>
      <c r="H709" s="11"/>
      <c r="I709" s="1"/>
      <c r="J709" s="7"/>
      <c r="K709" s="8"/>
      <c r="L709" s="11"/>
      <c r="M709" s="12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  <c r="Z709" s="14"/>
      <c r="AA709" s="14"/>
      <c r="AB709" s="14"/>
      <c r="AC709" s="14"/>
      <c r="AD709" s="14"/>
      <c r="AE709" s="14"/>
      <c r="AF709" s="14"/>
      <c r="AG709" s="14"/>
      <c r="AH709" s="14"/>
    </row>
    <row r="710" spans="1:34" x14ac:dyDescent="0.25">
      <c r="A710" s="14"/>
      <c r="B710" s="5"/>
      <c r="C710" s="12"/>
      <c r="D710" s="11"/>
      <c r="E710" s="224"/>
      <c r="F710" s="11"/>
      <c r="G710" s="1"/>
      <c r="H710" s="11"/>
      <c r="I710" s="1"/>
      <c r="J710" s="7"/>
      <c r="K710" s="8"/>
      <c r="L710" s="11"/>
      <c r="M710" s="12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  <c r="Z710" s="14"/>
      <c r="AA710" s="14"/>
      <c r="AB710" s="14"/>
      <c r="AC710" s="14"/>
      <c r="AD710" s="14"/>
      <c r="AE710" s="14"/>
      <c r="AF710" s="14"/>
      <c r="AG710" s="14"/>
      <c r="AH710" s="14"/>
    </row>
    <row r="711" spans="1:34" x14ac:dyDescent="0.25">
      <c r="A711" s="14"/>
      <c r="B711" s="5"/>
      <c r="C711" s="12"/>
      <c r="D711" s="11"/>
      <c r="E711" s="224"/>
      <c r="F711" s="11"/>
      <c r="G711" s="1"/>
      <c r="H711" s="11"/>
      <c r="I711" s="1"/>
      <c r="J711" s="7"/>
      <c r="K711" s="8"/>
      <c r="L711" s="11"/>
      <c r="M711" s="12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  <c r="Z711" s="14"/>
      <c r="AA711" s="14"/>
      <c r="AB711" s="14"/>
      <c r="AC711" s="14"/>
      <c r="AD711" s="14"/>
      <c r="AE711" s="14"/>
      <c r="AF711" s="14"/>
      <c r="AG711" s="14"/>
      <c r="AH711" s="14"/>
    </row>
    <row r="712" spans="1:34" x14ac:dyDescent="0.25">
      <c r="A712" s="14"/>
      <c r="B712" s="5"/>
      <c r="C712" s="12"/>
      <c r="D712" s="11"/>
      <c r="E712" s="224"/>
      <c r="F712" s="11"/>
      <c r="G712" s="1"/>
      <c r="H712" s="11"/>
      <c r="I712" s="1"/>
      <c r="J712" s="7"/>
      <c r="K712" s="8"/>
      <c r="L712" s="11"/>
      <c r="M712" s="12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  <c r="Z712" s="14"/>
      <c r="AA712" s="14"/>
      <c r="AB712" s="14"/>
      <c r="AC712" s="14"/>
      <c r="AD712" s="14"/>
      <c r="AE712" s="14"/>
      <c r="AF712" s="14"/>
      <c r="AG712" s="14"/>
      <c r="AH712" s="14"/>
    </row>
    <row r="713" spans="1:34" x14ac:dyDescent="0.25">
      <c r="A713" s="14"/>
      <c r="B713" s="5"/>
      <c r="C713" s="12"/>
      <c r="D713" s="11"/>
      <c r="E713" s="224"/>
      <c r="F713" s="11"/>
      <c r="G713" s="1"/>
      <c r="H713" s="11"/>
      <c r="I713" s="1"/>
      <c r="J713" s="7"/>
      <c r="K713" s="8"/>
      <c r="L713" s="11"/>
      <c r="M713" s="12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  <c r="Z713" s="14"/>
      <c r="AA713" s="14"/>
      <c r="AB713" s="14"/>
      <c r="AC713" s="14"/>
      <c r="AD713" s="14"/>
      <c r="AE713" s="14"/>
      <c r="AF713" s="14"/>
      <c r="AG713" s="14"/>
      <c r="AH713" s="14"/>
    </row>
    <row r="714" spans="1:34" x14ac:dyDescent="0.25">
      <c r="A714" s="14"/>
      <c r="B714" s="5"/>
      <c r="C714" s="12"/>
      <c r="D714" s="11"/>
      <c r="E714" s="224"/>
      <c r="F714" s="11"/>
      <c r="G714" s="1"/>
      <c r="H714" s="11"/>
      <c r="I714" s="1"/>
      <c r="J714" s="7"/>
      <c r="K714" s="8"/>
      <c r="L714" s="11"/>
      <c r="M714" s="12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  <c r="Z714" s="14"/>
      <c r="AA714" s="14"/>
      <c r="AB714" s="14"/>
      <c r="AC714" s="14"/>
      <c r="AD714" s="14"/>
      <c r="AE714" s="14"/>
      <c r="AF714" s="14"/>
      <c r="AG714" s="14"/>
      <c r="AH714" s="14"/>
    </row>
    <row r="715" spans="1:34" x14ac:dyDescent="0.25">
      <c r="A715" s="14"/>
      <c r="B715" s="5"/>
      <c r="C715" s="12"/>
      <c r="D715" s="11"/>
      <c r="E715" s="224"/>
      <c r="F715" s="11"/>
      <c r="G715" s="1"/>
      <c r="H715" s="11"/>
      <c r="I715" s="1"/>
      <c r="J715" s="7"/>
      <c r="K715" s="8"/>
      <c r="L715" s="11"/>
      <c r="M715" s="12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  <c r="Z715" s="14"/>
      <c r="AA715" s="14"/>
      <c r="AB715" s="14"/>
      <c r="AC715" s="14"/>
      <c r="AD715" s="14"/>
      <c r="AE715" s="14"/>
      <c r="AF715" s="14"/>
      <c r="AG715" s="14"/>
      <c r="AH715" s="14"/>
    </row>
    <row r="716" spans="1:34" x14ac:dyDescent="0.25">
      <c r="A716" s="14"/>
      <c r="B716" s="5"/>
      <c r="C716" s="12"/>
      <c r="D716" s="11"/>
      <c r="E716" s="224"/>
      <c r="F716" s="11"/>
      <c r="G716" s="1"/>
      <c r="H716" s="11"/>
      <c r="I716" s="1"/>
      <c r="J716" s="7"/>
      <c r="K716" s="8"/>
      <c r="L716" s="11"/>
      <c r="M716" s="12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  <c r="Z716" s="14"/>
      <c r="AA716" s="14"/>
      <c r="AB716" s="14"/>
      <c r="AC716" s="14"/>
      <c r="AD716" s="14"/>
      <c r="AE716" s="14"/>
      <c r="AF716" s="14"/>
      <c r="AG716" s="14"/>
      <c r="AH716" s="14"/>
    </row>
    <row r="717" spans="1:34" x14ac:dyDescent="0.25">
      <c r="A717" s="14"/>
      <c r="B717" s="5"/>
      <c r="C717" s="12"/>
      <c r="D717" s="11"/>
      <c r="E717" s="224"/>
      <c r="F717" s="11"/>
      <c r="G717" s="1"/>
      <c r="H717" s="11"/>
      <c r="I717" s="1"/>
      <c r="J717" s="7"/>
      <c r="K717" s="8"/>
      <c r="L717" s="11"/>
      <c r="M717" s="12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  <c r="Z717" s="14"/>
      <c r="AA717" s="14"/>
      <c r="AB717" s="14"/>
      <c r="AC717" s="14"/>
      <c r="AD717" s="14"/>
      <c r="AE717" s="14"/>
      <c r="AF717" s="14"/>
      <c r="AG717" s="14"/>
      <c r="AH717" s="14"/>
    </row>
    <row r="718" spans="1:34" x14ac:dyDescent="0.25">
      <c r="A718" s="14"/>
      <c r="B718" s="5"/>
      <c r="C718" s="12"/>
      <c r="D718" s="11"/>
      <c r="E718" s="224"/>
      <c r="F718" s="11"/>
      <c r="G718" s="1"/>
      <c r="H718" s="11"/>
      <c r="I718" s="1"/>
      <c r="J718" s="7"/>
      <c r="K718" s="8"/>
      <c r="L718" s="11"/>
      <c r="M718" s="12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  <c r="Z718" s="14"/>
      <c r="AA718" s="14"/>
      <c r="AB718" s="14"/>
      <c r="AC718" s="14"/>
      <c r="AD718" s="14"/>
      <c r="AE718" s="14"/>
      <c r="AF718" s="14"/>
      <c r="AG718" s="14"/>
      <c r="AH718" s="14"/>
    </row>
    <row r="719" spans="1:34" x14ac:dyDescent="0.25">
      <c r="A719" s="14"/>
      <c r="B719" s="5"/>
      <c r="C719" s="12"/>
      <c r="D719" s="11"/>
      <c r="E719" s="224"/>
      <c r="F719" s="11"/>
      <c r="G719" s="1"/>
      <c r="H719" s="11"/>
      <c r="I719" s="1"/>
      <c r="J719" s="7"/>
      <c r="K719" s="8"/>
      <c r="L719" s="11"/>
      <c r="M719" s="12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  <c r="Z719" s="14"/>
      <c r="AA719" s="14"/>
      <c r="AB719" s="14"/>
      <c r="AC719" s="14"/>
      <c r="AD719" s="14"/>
      <c r="AE719" s="14"/>
      <c r="AF719" s="14"/>
      <c r="AG719" s="14"/>
      <c r="AH719" s="14"/>
    </row>
    <row r="720" spans="1:34" x14ac:dyDescent="0.25">
      <c r="A720" s="14"/>
      <c r="B720" s="5"/>
      <c r="C720" s="12"/>
      <c r="D720" s="11"/>
      <c r="E720" s="224"/>
      <c r="F720" s="11"/>
      <c r="G720" s="1"/>
      <c r="H720" s="11"/>
      <c r="I720" s="1"/>
      <c r="J720" s="7"/>
      <c r="K720" s="8"/>
      <c r="L720" s="11"/>
      <c r="M720" s="12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  <c r="Z720" s="14"/>
      <c r="AA720" s="14"/>
      <c r="AB720" s="14"/>
      <c r="AC720" s="14"/>
      <c r="AD720" s="14"/>
      <c r="AE720" s="14"/>
      <c r="AF720" s="14"/>
      <c r="AG720" s="14"/>
      <c r="AH720" s="14"/>
    </row>
    <row r="721" spans="1:34" x14ac:dyDescent="0.25">
      <c r="A721" s="14"/>
      <c r="B721" s="5"/>
      <c r="C721" s="12"/>
      <c r="D721" s="11"/>
      <c r="E721" s="224"/>
      <c r="F721" s="11"/>
      <c r="G721" s="1"/>
      <c r="H721" s="11"/>
      <c r="I721" s="1"/>
      <c r="J721" s="7"/>
      <c r="K721" s="8"/>
      <c r="L721" s="11"/>
      <c r="M721" s="12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  <c r="Z721" s="14"/>
      <c r="AA721" s="14"/>
      <c r="AB721" s="14"/>
      <c r="AC721" s="14"/>
      <c r="AD721" s="14"/>
      <c r="AE721" s="14"/>
      <c r="AF721" s="14"/>
      <c r="AG721" s="14"/>
      <c r="AH721" s="14"/>
    </row>
    <row r="722" spans="1:34" x14ac:dyDescent="0.25">
      <c r="A722" s="14"/>
      <c r="B722" s="5"/>
      <c r="C722" s="12"/>
      <c r="D722" s="11"/>
      <c r="E722" s="224"/>
      <c r="F722" s="11"/>
      <c r="G722" s="1"/>
      <c r="H722" s="11"/>
      <c r="I722" s="1"/>
      <c r="J722" s="7"/>
      <c r="K722" s="8"/>
      <c r="L722" s="11"/>
      <c r="M722" s="12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  <c r="Z722" s="14"/>
      <c r="AA722" s="14"/>
      <c r="AB722" s="14"/>
      <c r="AC722" s="14"/>
      <c r="AD722" s="14"/>
      <c r="AE722" s="14"/>
      <c r="AF722" s="14"/>
      <c r="AG722" s="14"/>
      <c r="AH722" s="14"/>
    </row>
    <row r="723" spans="1:34" x14ac:dyDescent="0.25">
      <c r="A723" s="14"/>
      <c r="B723" s="5"/>
      <c r="C723" s="12"/>
      <c r="D723" s="11"/>
      <c r="E723" s="224"/>
      <c r="F723" s="11"/>
      <c r="G723" s="1"/>
      <c r="H723" s="11"/>
      <c r="I723" s="1"/>
      <c r="J723" s="7"/>
      <c r="K723" s="8"/>
      <c r="L723" s="11"/>
      <c r="M723" s="12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  <c r="Z723" s="14"/>
      <c r="AA723" s="14"/>
      <c r="AB723" s="14"/>
      <c r="AC723" s="14"/>
      <c r="AD723" s="14"/>
      <c r="AE723" s="14"/>
      <c r="AF723" s="14"/>
      <c r="AG723" s="14"/>
      <c r="AH723" s="14"/>
    </row>
    <row r="724" spans="1:34" x14ac:dyDescent="0.25">
      <c r="A724" s="14"/>
      <c r="B724" s="5"/>
      <c r="C724" s="12"/>
      <c r="D724" s="11"/>
      <c r="E724" s="224"/>
      <c r="F724" s="11"/>
      <c r="G724" s="1"/>
      <c r="H724" s="11"/>
      <c r="I724" s="1"/>
      <c r="J724" s="7"/>
      <c r="K724" s="8"/>
      <c r="L724" s="11"/>
      <c r="M724" s="12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  <c r="Z724" s="14"/>
      <c r="AA724" s="14"/>
      <c r="AB724" s="14"/>
      <c r="AC724" s="14"/>
      <c r="AD724" s="14"/>
      <c r="AE724" s="14"/>
      <c r="AF724" s="14"/>
      <c r="AG724" s="14"/>
      <c r="AH724" s="14"/>
    </row>
    <row r="725" spans="1:34" x14ac:dyDescent="0.25">
      <c r="A725" s="14"/>
      <c r="B725" s="5"/>
      <c r="C725" s="12"/>
      <c r="D725" s="11"/>
      <c r="E725" s="224"/>
      <c r="F725" s="11"/>
      <c r="G725" s="1"/>
      <c r="H725" s="11"/>
      <c r="I725" s="1"/>
      <c r="J725" s="7"/>
      <c r="K725" s="8"/>
      <c r="L725" s="11"/>
      <c r="M725" s="12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  <c r="Z725" s="14"/>
      <c r="AA725" s="14"/>
      <c r="AB725" s="14"/>
      <c r="AC725" s="14"/>
      <c r="AD725" s="14"/>
      <c r="AE725" s="14"/>
      <c r="AF725" s="14"/>
      <c r="AG725" s="14"/>
      <c r="AH725" s="14"/>
    </row>
    <row r="726" spans="1:34" x14ac:dyDescent="0.25">
      <c r="A726" s="14"/>
      <c r="B726" s="5"/>
      <c r="C726" s="12"/>
      <c r="D726" s="11"/>
      <c r="E726" s="224"/>
      <c r="F726" s="11"/>
      <c r="G726" s="1"/>
      <c r="H726" s="11"/>
      <c r="I726" s="1"/>
      <c r="J726" s="7"/>
      <c r="K726" s="8"/>
      <c r="L726" s="11"/>
      <c r="M726" s="12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  <c r="Z726" s="14"/>
      <c r="AA726" s="14"/>
      <c r="AB726" s="14"/>
      <c r="AC726" s="14"/>
      <c r="AD726" s="14"/>
      <c r="AE726" s="14"/>
      <c r="AF726" s="14"/>
      <c r="AG726" s="14"/>
      <c r="AH726" s="14"/>
    </row>
    <row r="727" spans="1:34" x14ac:dyDescent="0.25">
      <c r="A727" s="14"/>
      <c r="B727" s="5"/>
      <c r="C727" s="12"/>
      <c r="D727" s="11"/>
      <c r="E727" s="224"/>
      <c r="F727" s="11"/>
      <c r="G727" s="1"/>
      <c r="H727" s="11"/>
      <c r="I727" s="1"/>
      <c r="J727" s="7"/>
      <c r="K727" s="8"/>
      <c r="L727" s="11"/>
      <c r="M727" s="12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  <c r="Z727" s="14"/>
      <c r="AA727" s="14"/>
      <c r="AB727" s="14"/>
      <c r="AC727" s="14"/>
      <c r="AD727" s="14"/>
      <c r="AE727" s="14"/>
      <c r="AF727" s="14"/>
      <c r="AG727" s="14"/>
      <c r="AH727" s="14"/>
    </row>
    <row r="728" spans="1:34" x14ac:dyDescent="0.25">
      <c r="A728" s="14"/>
      <c r="B728" s="5"/>
      <c r="C728" s="12"/>
      <c r="D728" s="11"/>
      <c r="E728" s="224"/>
      <c r="F728" s="11"/>
      <c r="G728" s="1"/>
      <c r="H728" s="11"/>
      <c r="I728" s="1"/>
      <c r="J728" s="7"/>
      <c r="K728" s="8"/>
      <c r="L728" s="11"/>
      <c r="M728" s="12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  <c r="Z728" s="14"/>
      <c r="AA728" s="14"/>
      <c r="AB728" s="14"/>
      <c r="AC728" s="14"/>
      <c r="AD728" s="14"/>
      <c r="AE728" s="14"/>
      <c r="AF728" s="14"/>
      <c r="AG728" s="14"/>
      <c r="AH728" s="14"/>
    </row>
    <row r="729" spans="1:34" x14ac:dyDescent="0.25">
      <c r="A729" s="14"/>
      <c r="B729" s="5"/>
      <c r="C729" s="12"/>
      <c r="D729" s="11"/>
      <c r="E729" s="224"/>
      <c r="F729" s="11"/>
      <c r="G729" s="1"/>
      <c r="H729" s="11"/>
      <c r="I729" s="1"/>
      <c r="J729" s="7"/>
      <c r="K729" s="8"/>
      <c r="L729" s="11"/>
      <c r="M729" s="12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  <c r="Z729" s="14"/>
      <c r="AA729" s="14"/>
      <c r="AB729" s="14"/>
      <c r="AC729" s="14"/>
      <c r="AD729" s="14"/>
      <c r="AE729" s="14"/>
      <c r="AF729" s="14"/>
      <c r="AG729" s="14"/>
      <c r="AH729" s="14"/>
    </row>
    <row r="730" spans="1:34" x14ac:dyDescent="0.25">
      <c r="A730" s="14"/>
      <c r="B730" s="5"/>
      <c r="C730" s="12"/>
      <c r="D730" s="11"/>
      <c r="E730" s="224"/>
      <c r="F730" s="11"/>
      <c r="G730" s="1"/>
      <c r="H730" s="11"/>
      <c r="I730" s="1"/>
      <c r="J730" s="7"/>
      <c r="K730" s="8"/>
      <c r="L730" s="11"/>
      <c r="M730" s="12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  <c r="Z730" s="14"/>
      <c r="AA730" s="14"/>
      <c r="AB730" s="14"/>
      <c r="AC730" s="14"/>
      <c r="AD730" s="14"/>
      <c r="AE730" s="14"/>
      <c r="AF730" s="14"/>
      <c r="AG730" s="14"/>
      <c r="AH730" s="14"/>
    </row>
    <row r="731" spans="1:34" x14ac:dyDescent="0.25">
      <c r="A731" s="14"/>
      <c r="B731" s="5"/>
      <c r="C731" s="12"/>
      <c r="D731" s="11"/>
      <c r="E731" s="224"/>
      <c r="F731" s="11"/>
      <c r="G731" s="1"/>
      <c r="H731" s="11"/>
      <c r="I731" s="1"/>
      <c r="J731" s="7"/>
      <c r="K731" s="8"/>
      <c r="L731" s="11"/>
      <c r="M731" s="12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  <c r="Z731" s="14"/>
      <c r="AA731" s="14"/>
      <c r="AB731" s="14"/>
      <c r="AC731" s="14"/>
      <c r="AD731" s="14"/>
      <c r="AE731" s="14"/>
      <c r="AF731" s="14"/>
      <c r="AG731" s="14"/>
      <c r="AH731" s="14"/>
    </row>
    <row r="732" spans="1:34" x14ac:dyDescent="0.25">
      <c r="A732" s="14"/>
      <c r="B732" s="5"/>
      <c r="C732" s="12"/>
      <c r="D732" s="11"/>
      <c r="E732" s="224"/>
      <c r="F732" s="11"/>
      <c r="G732" s="1"/>
      <c r="H732" s="11"/>
      <c r="I732" s="1"/>
      <c r="J732" s="7"/>
      <c r="K732" s="8"/>
      <c r="L732" s="11"/>
      <c r="M732" s="12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  <c r="Z732" s="14"/>
      <c r="AA732" s="14"/>
      <c r="AB732" s="14"/>
      <c r="AC732" s="14"/>
      <c r="AD732" s="14"/>
      <c r="AE732" s="14"/>
      <c r="AF732" s="14"/>
      <c r="AG732" s="14"/>
      <c r="AH732" s="14"/>
    </row>
    <row r="733" spans="1:34" x14ac:dyDescent="0.25">
      <c r="A733" s="14"/>
      <c r="B733" s="5"/>
      <c r="C733" s="12"/>
      <c r="D733" s="11"/>
      <c r="E733" s="224"/>
      <c r="F733" s="11"/>
      <c r="G733" s="1"/>
      <c r="H733" s="11"/>
      <c r="I733" s="1"/>
      <c r="J733" s="7"/>
      <c r="K733" s="8"/>
      <c r="L733" s="11"/>
      <c r="M733" s="12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  <c r="Z733" s="14"/>
      <c r="AA733" s="14"/>
      <c r="AB733" s="14"/>
      <c r="AC733" s="14"/>
      <c r="AD733" s="14"/>
      <c r="AE733" s="14"/>
      <c r="AF733" s="14"/>
      <c r="AG733" s="14"/>
      <c r="AH733" s="14"/>
    </row>
    <row r="734" spans="1:34" x14ac:dyDescent="0.25">
      <c r="A734" s="14"/>
      <c r="B734" s="5"/>
      <c r="C734" s="12"/>
      <c r="D734" s="11"/>
      <c r="E734" s="224"/>
      <c r="F734" s="11"/>
      <c r="G734" s="1"/>
      <c r="H734" s="11"/>
      <c r="I734" s="1"/>
      <c r="J734" s="7"/>
      <c r="K734" s="8"/>
      <c r="L734" s="11"/>
      <c r="M734" s="12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  <c r="Z734" s="14"/>
      <c r="AA734" s="14"/>
      <c r="AB734" s="14"/>
      <c r="AC734" s="14"/>
      <c r="AD734" s="14"/>
      <c r="AE734" s="14"/>
      <c r="AF734" s="14"/>
      <c r="AG734" s="14"/>
      <c r="AH734" s="14"/>
    </row>
    <row r="735" spans="1:34" x14ac:dyDescent="0.25">
      <c r="A735" s="14"/>
      <c r="B735" s="5"/>
      <c r="C735" s="12"/>
      <c r="D735" s="11"/>
      <c r="E735" s="224"/>
      <c r="F735" s="11"/>
      <c r="G735" s="1"/>
      <c r="H735" s="11"/>
      <c r="I735" s="1"/>
      <c r="J735" s="7"/>
      <c r="K735" s="8"/>
      <c r="L735" s="11"/>
      <c r="M735" s="12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  <c r="Z735" s="14"/>
      <c r="AA735" s="14"/>
      <c r="AB735" s="14"/>
      <c r="AC735" s="14"/>
      <c r="AD735" s="14"/>
      <c r="AE735" s="14"/>
      <c r="AF735" s="14"/>
      <c r="AG735" s="14"/>
      <c r="AH735" s="14"/>
    </row>
    <row r="736" spans="1:34" x14ac:dyDescent="0.25">
      <c r="A736" s="14"/>
      <c r="B736" s="5"/>
      <c r="C736" s="12"/>
      <c r="D736" s="11"/>
      <c r="E736" s="224"/>
      <c r="F736" s="11"/>
      <c r="G736" s="1"/>
      <c r="H736" s="11"/>
      <c r="I736" s="1"/>
      <c r="J736" s="7"/>
      <c r="K736" s="8"/>
      <c r="L736" s="11"/>
      <c r="M736" s="12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  <c r="Z736" s="14"/>
      <c r="AA736" s="14"/>
      <c r="AB736" s="14"/>
      <c r="AC736" s="14"/>
      <c r="AD736" s="14"/>
      <c r="AE736" s="14"/>
      <c r="AF736" s="14"/>
      <c r="AG736" s="14"/>
      <c r="AH736" s="14"/>
    </row>
    <row r="737" spans="1:34" x14ac:dyDescent="0.25">
      <c r="A737" s="14"/>
      <c r="B737" s="5"/>
      <c r="C737" s="12"/>
      <c r="D737" s="11"/>
      <c r="E737" s="224"/>
      <c r="F737" s="11"/>
      <c r="G737" s="1"/>
      <c r="H737" s="11"/>
      <c r="I737" s="1"/>
      <c r="J737" s="7"/>
      <c r="K737" s="8"/>
      <c r="L737" s="11"/>
      <c r="M737" s="12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  <c r="Z737" s="14"/>
      <c r="AA737" s="14"/>
      <c r="AB737" s="14"/>
      <c r="AC737" s="14"/>
      <c r="AD737" s="14"/>
      <c r="AE737" s="14"/>
      <c r="AF737" s="14"/>
      <c r="AG737" s="14"/>
      <c r="AH737" s="14"/>
    </row>
    <row r="738" spans="1:34" x14ac:dyDescent="0.25">
      <c r="A738" s="14"/>
      <c r="B738" s="5"/>
      <c r="C738" s="12"/>
      <c r="D738" s="11"/>
      <c r="E738" s="224"/>
      <c r="F738" s="11"/>
      <c r="G738" s="1"/>
      <c r="H738" s="11"/>
      <c r="I738" s="1"/>
      <c r="J738" s="7"/>
      <c r="K738" s="8"/>
      <c r="L738" s="11"/>
      <c r="M738" s="12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  <c r="Z738" s="14"/>
      <c r="AA738" s="14"/>
      <c r="AB738" s="14"/>
      <c r="AC738" s="14"/>
      <c r="AD738" s="14"/>
      <c r="AE738" s="14"/>
      <c r="AF738" s="14"/>
      <c r="AG738" s="14"/>
      <c r="AH738" s="14"/>
    </row>
    <row r="739" spans="1:34" x14ac:dyDescent="0.25">
      <c r="A739" s="14"/>
      <c r="B739" s="5"/>
      <c r="C739" s="12"/>
      <c r="D739" s="11"/>
      <c r="E739" s="224"/>
      <c r="F739" s="11"/>
      <c r="G739" s="1"/>
      <c r="H739" s="11"/>
      <c r="I739" s="1"/>
      <c r="J739" s="7"/>
      <c r="K739" s="8"/>
      <c r="L739" s="11"/>
      <c r="M739" s="12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  <c r="Z739" s="14"/>
      <c r="AA739" s="14"/>
      <c r="AB739" s="14"/>
      <c r="AC739" s="14"/>
      <c r="AD739" s="14"/>
      <c r="AE739" s="14"/>
      <c r="AF739" s="14"/>
      <c r="AG739" s="14"/>
      <c r="AH739" s="14"/>
    </row>
    <row r="740" spans="1:34" x14ac:dyDescent="0.25">
      <c r="A740" s="14"/>
      <c r="B740" s="5"/>
      <c r="C740" s="12"/>
      <c r="D740" s="11"/>
      <c r="E740" s="224"/>
      <c r="F740" s="11"/>
      <c r="G740" s="1"/>
      <c r="H740" s="11"/>
      <c r="I740" s="1"/>
      <c r="J740" s="7"/>
      <c r="K740" s="8"/>
      <c r="L740" s="11"/>
      <c r="M740" s="12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  <c r="Z740" s="14"/>
      <c r="AA740" s="14"/>
      <c r="AB740" s="14"/>
      <c r="AC740" s="14"/>
      <c r="AD740" s="14"/>
      <c r="AE740" s="14"/>
      <c r="AF740" s="14"/>
      <c r="AG740" s="14"/>
      <c r="AH740" s="14"/>
    </row>
    <row r="741" spans="1:34" x14ac:dyDescent="0.25">
      <c r="A741" s="14"/>
      <c r="B741" s="5"/>
      <c r="C741" s="12"/>
      <c r="D741" s="11"/>
      <c r="E741" s="224"/>
      <c r="F741" s="11"/>
      <c r="G741" s="1"/>
      <c r="H741" s="11"/>
      <c r="I741" s="1"/>
      <c r="J741" s="7"/>
      <c r="K741" s="8"/>
      <c r="L741" s="11"/>
      <c r="M741" s="12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  <c r="Z741" s="14"/>
      <c r="AA741" s="14"/>
      <c r="AB741" s="14"/>
      <c r="AC741" s="14"/>
      <c r="AD741" s="14"/>
      <c r="AE741" s="14"/>
      <c r="AF741" s="14"/>
      <c r="AG741" s="14"/>
      <c r="AH741" s="14"/>
    </row>
    <row r="742" spans="1:34" x14ac:dyDescent="0.25">
      <c r="A742" s="14"/>
      <c r="B742" s="5"/>
      <c r="C742" s="12"/>
      <c r="D742" s="11"/>
      <c r="E742" s="224"/>
      <c r="F742" s="11"/>
      <c r="G742" s="1"/>
      <c r="H742" s="11"/>
      <c r="I742" s="1"/>
      <c r="J742" s="7"/>
      <c r="K742" s="8"/>
      <c r="L742" s="11"/>
      <c r="M742" s="12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  <c r="Z742" s="14"/>
      <c r="AA742" s="14"/>
      <c r="AB742" s="14"/>
      <c r="AC742" s="14"/>
      <c r="AD742" s="14"/>
      <c r="AE742" s="14"/>
      <c r="AF742" s="14"/>
      <c r="AG742" s="14"/>
      <c r="AH742" s="14"/>
    </row>
    <row r="743" spans="1:34" x14ac:dyDescent="0.25">
      <c r="A743" s="14"/>
      <c r="B743" s="5"/>
      <c r="C743" s="12"/>
      <c r="D743" s="11"/>
      <c r="E743" s="224"/>
      <c r="F743" s="11"/>
      <c r="G743" s="1"/>
      <c r="H743" s="11"/>
      <c r="I743" s="1"/>
      <c r="J743" s="7"/>
      <c r="K743" s="8"/>
      <c r="L743" s="11"/>
      <c r="M743" s="12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  <c r="Z743" s="14"/>
      <c r="AA743" s="14"/>
      <c r="AB743" s="14"/>
      <c r="AC743" s="14"/>
      <c r="AD743" s="14"/>
      <c r="AE743" s="14"/>
      <c r="AF743" s="14"/>
      <c r="AG743" s="14"/>
      <c r="AH743" s="14"/>
    </row>
    <row r="744" spans="1:34" x14ac:dyDescent="0.25">
      <c r="A744" s="14"/>
      <c r="B744" s="5"/>
      <c r="C744" s="12"/>
      <c r="D744" s="11"/>
      <c r="E744" s="224"/>
      <c r="F744" s="11"/>
      <c r="G744" s="1"/>
      <c r="H744" s="11"/>
      <c r="I744" s="1"/>
      <c r="J744" s="7"/>
      <c r="K744" s="8"/>
      <c r="L744" s="11"/>
      <c r="M744" s="12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  <c r="Z744" s="14"/>
      <c r="AA744" s="14"/>
      <c r="AB744" s="14"/>
      <c r="AC744" s="14"/>
      <c r="AD744" s="14"/>
      <c r="AE744" s="14"/>
      <c r="AF744" s="14"/>
      <c r="AG744" s="14"/>
      <c r="AH744" s="14"/>
    </row>
    <row r="745" spans="1:34" x14ac:dyDescent="0.25">
      <c r="A745" s="14"/>
      <c r="B745" s="5"/>
      <c r="C745" s="12"/>
      <c r="D745" s="11"/>
      <c r="E745" s="224"/>
      <c r="F745" s="11"/>
      <c r="G745" s="1"/>
      <c r="H745" s="11"/>
      <c r="I745" s="1"/>
      <c r="J745" s="7"/>
      <c r="K745" s="8"/>
      <c r="L745" s="11"/>
      <c r="M745" s="12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  <c r="Z745" s="14"/>
      <c r="AA745" s="14"/>
      <c r="AB745" s="14"/>
      <c r="AC745" s="14"/>
      <c r="AD745" s="14"/>
      <c r="AE745" s="14"/>
      <c r="AF745" s="14"/>
      <c r="AG745" s="14"/>
      <c r="AH745" s="14"/>
    </row>
    <row r="746" spans="1:34" x14ac:dyDescent="0.25">
      <c r="A746" s="14"/>
      <c r="B746" s="5"/>
      <c r="C746" s="12"/>
      <c r="D746" s="11"/>
      <c r="E746" s="224"/>
      <c r="F746" s="11"/>
      <c r="G746" s="1"/>
      <c r="H746" s="11"/>
      <c r="I746" s="1"/>
      <c r="J746" s="7"/>
      <c r="K746" s="8"/>
      <c r="L746" s="11"/>
      <c r="M746" s="12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  <c r="Z746" s="14"/>
      <c r="AA746" s="14"/>
      <c r="AB746" s="14"/>
      <c r="AC746" s="14"/>
      <c r="AD746" s="14"/>
      <c r="AE746" s="14"/>
      <c r="AF746" s="14"/>
      <c r="AG746" s="14"/>
      <c r="AH746" s="14"/>
    </row>
    <row r="747" spans="1:34" x14ac:dyDescent="0.25">
      <c r="A747" s="14"/>
      <c r="B747" s="5"/>
      <c r="C747" s="12"/>
      <c r="D747" s="11"/>
      <c r="E747" s="224"/>
      <c r="F747" s="11"/>
      <c r="G747" s="1"/>
      <c r="H747" s="11"/>
      <c r="I747" s="1"/>
      <c r="J747" s="7"/>
      <c r="K747" s="8"/>
      <c r="L747" s="11"/>
      <c r="M747" s="12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  <c r="Z747" s="14"/>
      <c r="AA747" s="14"/>
      <c r="AB747" s="14"/>
      <c r="AC747" s="14"/>
      <c r="AD747" s="14"/>
      <c r="AE747" s="14"/>
      <c r="AF747" s="14"/>
      <c r="AG747" s="14"/>
      <c r="AH747" s="14"/>
    </row>
    <row r="748" spans="1:34" x14ac:dyDescent="0.25">
      <c r="A748" s="14"/>
      <c r="B748" s="5"/>
      <c r="C748" s="12"/>
      <c r="D748" s="11"/>
      <c r="E748" s="224"/>
      <c r="F748" s="11"/>
      <c r="G748" s="1"/>
      <c r="H748" s="11"/>
      <c r="I748" s="1"/>
      <c r="J748" s="7"/>
      <c r="K748" s="8"/>
      <c r="L748" s="11"/>
      <c r="M748" s="12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  <c r="Z748" s="14"/>
      <c r="AA748" s="14"/>
      <c r="AB748" s="14"/>
      <c r="AC748" s="14"/>
      <c r="AD748" s="14"/>
      <c r="AE748" s="14"/>
      <c r="AF748" s="14"/>
      <c r="AG748" s="14"/>
      <c r="AH748" s="14"/>
    </row>
    <row r="749" spans="1:34" x14ac:dyDescent="0.25">
      <c r="A749" s="14"/>
      <c r="B749" s="5"/>
      <c r="C749" s="12"/>
      <c r="D749" s="11"/>
      <c r="E749" s="224"/>
      <c r="F749" s="11"/>
      <c r="G749" s="1"/>
      <c r="H749" s="11"/>
      <c r="I749" s="1"/>
      <c r="J749" s="7"/>
      <c r="K749" s="8"/>
      <c r="L749" s="11"/>
      <c r="M749" s="12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  <c r="Z749" s="14"/>
      <c r="AA749" s="14"/>
      <c r="AB749" s="14"/>
      <c r="AC749" s="14"/>
      <c r="AD749" s="14"/>
      <c r="AE749" s="14"/>
      <c r="AF749" s="14"/>
      <c r="AG749" s="14"/>
      <c r="AH749" s="14"/>
    </row>
    <row r="750" spans="1:34" x14ac:dyDescent="0.25">
      <c r="A750" s="14"/>
      <c r="B750" s="5"/>
      <c r="C750" s="12"/>
      <c r="D750" s="11"/>
      <c r="E750" s="224"/>
      <c r="F750" s="11"/>
      <c r="G750" s="1"/>
      <c r="H750" s="11"/>
      <c r="I750" s="1"/>
      <c r="J750" s="7"/>
      <c r="K750" s="8"/>
      <c r="L750" s="11"/>
      <c r="M750" s="12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  <c r="Z750" s="14"/>
      <c r="AA750" s="14"/>
      <c r="AB750" s="14"/>
      <c r="AC750" s="14"/>
      <c r="AD750" s="14"/>
      <c r="AE750" s="14"/>
      <c r="AF750" s="14"/>
      <c r="AG750" s="14"/>
      <c r="AH750" s="14"/>
    </row>
    <row r="751" spans="1:34" x14ac:dyDescent="0.25">
      <c r="A751" s="14"/>
      <c r="B751" s="5"/>
      <c r="C751" s="12"/>
      <c r="D751" s="11"/>
      <c r="E751" s="224"/>
      <c r="F751" s="11"/>
      <c r="G751" s="1"/>
      <c r="H751" s="11"/>
      <c r="I751" s="1"/>
      <c r="J751" s="7"/>
      <c r="K751" s="8"/>
      <c r="L751" s="11"/>
      <c r="M751" s="12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  <c r="Z751" s="14"/>
      <c r="AA751" s="14"/>
      <c r="AB751" s="14"/>
      <c r="AC751" s="14"/>
      <c r="AD751" s="14"/>
      <c r="AE751" s="14"/>
      <c r="AF751" s="14"/>
      <c r="AG751" s="14"/>
      <c r="AH751" s="14"/>
    </row>
    <row r="752" spans="1:34" x14ac:dyDescent="0.25">
      <c r="A752" s="14"/>
      <c r="B752" s="5"/>
      <c r="C752" s="12"/>
      <c r="D752" s="11"/>
      <c r="E752" s="224"/>
      <c r="F752" s="11"/>
      <c r="G752" s="1"/>
      <c r="H752" s="11"/>
      <c r="I752" s="1"/>
      <c r="J752" s="7"/>
      <c r="K752" s="8"/>
      <c r="L752" s="11"/>
      <c r="M752" s="12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  <c r="Z752" s="14"/>
      <c r="AA752" s="14"/>
      <c r="AB752" s="14"/>
      <c r="AC752" s="14"/>
      <c r="AD752" s="14"/>
      <c r="AE752" s="14"/>
      <c r="AF752" s="14"/>
      <c r="AG752" s="14"/>
      <c r="AH752" s="14"/>
    </row>
    <row r="753" spans="1:34" x14ac:dyDescent="0.25">
      <c r="A753" s="14"/>
      <c r="B753" s="5"/>
      <c r="C753" s="12"/>
      <c r="D753" s="11"/>
      <c r="E753" s="224"/>
      <c r="F753" s="11"/>
      <c r="G753" s="1"/>
      <c r="H753" s="11"/>
      <c r="I753" s="1"/>
      <c r="J753" s="7"/>
      <c r="K753" s="8"/>
      <c r="L753" s="11"/>
      <c r="M753" s="12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  <c r="Z753" s="14"/>
      <c r="AA753" s="14"/>
      <c r="AB753" s="14"/>
      <c r="AC753" s="14"/>
      <c r="AD753" s="14"/>
      <c r="AE753" s="14"/>
      <c r="AF753" s="14"/>
      <c r="AG753" s="14"/>
      <c r="AH753" s="14"/>
    </row>
    <row r="754" spans="1:34" x14ac:dyDescent="0.25">
      <c r="A754" s="14"/>
      <c r="B754" s="5"/>
      <c r="C754" s="12"/>
      <c r="D754" s="11"/>
      <c r="E754" s="224"/>
      <c r="F754" s="11"/>
      <c r="G754" s="1"/>
      <c r="H754" s="11"/>
      <c r="I754" s="1"/>
      <c r="J754" s="7"/>
      <c r="K754" s="8"/>
      <c r="L754" s="11"/>
      <c r="M754" s="12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  <c r="Z754" s="14"/>
      <c r="AA754" s="14"/>
      <c r="AB754" s="14"/>
      <c r="AC754" s="14"/>
      <c r="AD754" s="14"/>
      <c r="AE754" s="14"/>
      <c r="AF754" s="14"/>
      <c r="AG754" s="14"/>
      <c r="AH754" s="14"/>
    </row>
    <row r="755" spans="1:34" x14ac:dyDescent="0.25">
      <c r="A755" s="14"/>
      <c r="B755" s="5"/>
      <c r="C755" s="12"/>
      <c r="D755" s="11"/>
      <c r="E755" s="224"/>
      <c r="F755" s="11"/>
      <c r="G755" s="1"/>
      <c r="H755" s="11"/>
      <c r="I755" s="1"/>
      <c r="J755" s="7"/>
      <c r="K755" s="8"/>
      <c r="L755" s="11"/>
      <c r="M755" s="12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  <c r="Z755" s="14"/>
      <c r="AA755" s="14"/>
      <c r="AB755" s="14"/>
      <c r="AC755" s="14"/>
      <c r="AD755" s="14"/>
      <c r="AE755" s="14"/>
      <c r="AF755" s="14"/>
      <c r="AG755" s="14"/>
      <c r="AH755" s="14"/>
    </row>
    <row r="756" spans="1:34" x14ac:dyDescent="0.25">
      <c r="A756" s="14"/>
      <c r="B756" s="5"/>
      <c r="C756" s="12"/>
      <c r="D756" s="11"/>
      <c r="E756" s="224"/>
      <c r="F756" s="11"/>
      <c r="G756" s="1"/>
      <c r="H756" s="11"/>
      <c r="I756" s="1"/>
      <c r="J756" s="7"/>
      <c r="K756" s="8"/>
      <c r="L756" s="11"/>
      <c r="M756" s="12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  <c r="Z756" s="14"/>
      <c r="AA756" s="14"/>
      <c r="AB756" s="14"/>
      <c r="AC756" s="14"/>
      <c r="AD756" s="14"/>
      <c r="AE756" s="14"/>
      <c r="AF756" s="14"/>
      <c r="AG756" s="14"/>
      <c r="AH756" s="14"/>
    </row>
    <row r="757" spans="1:34" x14ac:dyDescent="0.25">
      <c r="A757" s="14"/>
      <c r="B757" s="5"/>
      <c r="C757" s="12"/>
      <c r="D757" s="11"/>
      <c r="E757" s="224"/>
      <c r="F757" s="11"/>
      <c r="G757" s="1"/>
      <c r="H757" s="11"/>
      <c r="I757" s="1"/>
      <c r="J757" s="7"/>
      <c r="K757" s="8"/>
      <c r="L757" s="11"/>
      <c r="M757" s="12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  <c r="Z757" s="14"/>
      <c r="AA757" s="14"/>
      <c r="AB757" s="14"/>
      <c r="AC757" s="14"/>
      <c r="AD757" s="14"/>
      <c r="AE757" s="14"/>
      <c r="AF757" s="14"/>
      <c r="AG757" s="14"/>
      <c r="AH757" s="14"/>
    </row>
    <row r="758" spans="1:34" x14ac:dyDescent="0.25">
      <c r="A758" s="14"/>
      <c r="B758" s="5"/>
      <c r="C758" s="12"/>
      <c r="D758" s="11"/>
      <c r="E758" s="224"/>
      <c r="F758" s="11"/>
      <c r="G758" s="1"/>
      <c r="H758" s="11"/>
      <c r="I758" s="1"/>
      <c r="J758" s="7"/>
      <c r="K758" s="8"/>
      <c r="L758" s="11"/>
      <c r="M758" s="12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  <c r="Z758" s="14"/>
      <c r="AA758" s="14"/>
      <c r="AB758" s="14"/>
      <c r="AC758" s="14"/>
      <c r="AD758" s="14"/>
      <c r="AE758" s="14"/>
      <c r="AF758" s="14"/>
      <c r="AG758" s="14"/>
      <c r="AH758" s="14"/>
    </row>
    <row r="759" spans="1:34" x14ac:dyDescent="0.25">
      <c r="A759" s="14"/>
      <c r="B759" s="5"/>
      <c r="C759" s="12"/>
      <c r="D759" s="11"/>
      <c r="E759" s="224"/>
      <c r="F759" s="11"/>
      <c r="G759" s="1"/>
      <c r="H759" s="11"/>
      <c r="I759" s="1"/>
      <c r="J759" s="7"/>
      <c r="K759" s="8"/>
      <c r="L759" s="11"/>
      <c r="M759" s="12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  <c r="Z759" s="14"/>
      <c r="AA759" s="14"/>
      <c r="AB759" s="14"/>
      <c r="AC759" s="14"/>
      <c r="AD759" s="14"/>
      <c r="AE759" s="14"/>
      <c r="AF759" s="14"/>
      <c r="AG759" s="14"/>
      <c r="AH759" s="14"/>
    </row>
    <row r="760" spans="1:34" x14ac:dyDescent="0.25">
      <c r="A760" s="14"/>
      <c r="B760" s="5"/>
      <c r="C760" s="12"/>
      <c r="D760" s="11"/>
      <c r="E760" s="224"/>
      <c r="F760" s="11"/>
      <c r="G760" s="1"/>
      <c r="H760" s="11"/>
      <c r="I760" s="1"/>
      <c r="J760" s="7"/>
      <c r="K760" s="8"/>
      <c r="L760" s="11"/>
      <c r="M760" s="12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  <c r="Z760" s="14"/>
      <c r="AA760" s="14"/>
      <c r="AB760" s="14"/>
      <c r="AC760" s="14"/>
      <c r="AD760" s="14"/>
      <c r="AE760" s="14"/>
      <c r="AF760" s="14"/>
      <c r="AG760" s="14"/>
      <c r="AH760" s="14"/>
    </row>
    <row r="761" spans="1:34" x14ac:dyDescent="0.25">
      <c r="A761" s="14"/>
      <c r="B761" s="5"/>
      <c r="C761" s="12"/>
      <c r="D761" s="11"/>
      <c r="E761" s="224"/>
      <c r="F761" s="11"/>
      <c r="G761" s="1"/>
      <c r="H761" s="11"/>
      <c r="I761" s="1"/>
      <c r="J761" s="7"/>
      <c r="K761" s="8"/>
      <c r="L761" s="11"/>
      <c r="M761" s="12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  <c r="Z761" s="14"/>
      <c r="AA761" s="14"/>
      <c r="AB761" s="14"/>
      <c r="AC761" s="14"/>
      <c r="AD761" s="14"/>
      <c r="AE761" s="14"/>
      <c r="AF761" s="14"/>
      <c r="AG761" s="14"/>
      <c r="AH761" s="14"/>
    </row>
    <row r="762" spans="1:34" x14ac:dyDescent="0.25">
      <c r="A762" s="14"/>
      <c r="B762" s="5"/>
      <c r="C762" s="12"/>
      <c r="D762" s="11"/>
      <c r="E762" s="224"/>
      <c r="F762" s="11"/>
      <c r="G762" s="1"/>
      <c r="H762" s="11"/>
      <c r="I762" s="1"/>
      <c r="J762" s="7"/>
      <c r="K762" s="8"/>
      <c r="L762" s="11"/>
      <c r="M762" s="12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  <c r="Z762" s="14"/>
      <c r="AA762" s="14"/>
      <c r="AB762" s="14"/>
      <c r="AC762" s="14"/>
      <c r="AD762" s="14"/>
      <c r="AE762" s="14"/>
      <c r="AF762" s="14"/>
      <c r="AG762" s="14"/>
      <c r="AH762" s="14"/>
    </row>
    <row r="763" spans="1:34" x14ac:dyDescent="0.25">
      <c r="A763" s="14"/>
      <c r="B763" s="5"/>
      <c r="C763" s="12"/>
      <c r="D763" s="11"/>
      <c r="E763" s="224"/>
      <c r="F763" s="11"/>
      <c r="G763" s="1"/>
      <c r="H763" s="11"/>
      <c r="I763" s="1"/>
      <c r="J763" s="7"/>
      <c r="K763" s="8"/>
      <c r="L763" s="11"/>
      <c r="M763" s="12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  <c r="Z763" s="14"/>
      <c r="AA763" s="14"/>
      <c r="AB763" s="14"/>
      <c r="AC763" s="14"/>
      <c r="AD763" s="14"/>
      <c r="AE763" s="14"/>
      <c r="AF763" s="14"/>
      <c r="AG763" s="14"/>
      <c r="AH763" s="14"/>
    </row>
    <row r="764" spans="1:34" x14ac:dyDescent="0.25">
      <c r="A764" s="14"/>
      <c r="B764" s="5"/>
      <c r="C764" s="12"/>
      <c r="D764" s="11"/>
      <c r="E764" s="224"/>
      <c r="F764" s="11"/>
      <c r="G764" s="1"/>
      <c r="H764" s="11"/>
      <c r="I764" s="1"/>
      <c r="J764" s="7"/>
      <c r="K764" s="8"/>
      <c r="L764" s="11"/>
      <c r="M764" s="12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  <c r="Z764" s="14"/>
      <c r="AA764" s="14"/>
      <c r="AB764" s="14"/>
      <c r="AC764" s="14"/>
      <c r="AD764" s="14"/>
      <c r="AE764" s="14"/>
      <c r="AF764" s="14"/>
      <c r="AG764" s="14"/>
      <c r="AH764" s="14"/>
    </row>
    <row r="765" spans="1:34" x14ac:dyDescent="0.25">
      <c r="A765" s="14"/>
      <c r="B765" s="5"/>
      <c r="C765" s="12"/>
      <c r="D765" s="11"/>
      <c r="E765" s="224"/>
      <c r="F765" s="11"/>
      <c r="G765" s="1"/>
      <c r="H765" s="11"/>
      <c r="I765" s="1"/>
      <c r="J765" s="7"/>
      <c r="K765" s="8"/>
      <c r="L765" s="11"/>
      <c r="M765" s="12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  <c r="Z765" s="14"/>
      <c r="AA765" s="14"/>
      <c r="AB765" s="14"/>
      <c r="AC765" s="14"/>
      <c r="AD765" s="14"/>
      <c r="AE765" s="14"/>
      <c r="AF765" s="14"/>
      <c r="AG765" s="14"/>
      <c r="AH765" s="14"/>
    </row>
    <row r="766" spans="1:34" x14ac:dyDescent="0.25">
      <c r="A766" s="14"/>
      <c r="B766" s="5"/>
      <c r="C766" s="12"/>
      <c r="D766" s="11"/>
      <c r="E766" s="224"/>
      <c r="F766" s="11"/>
      <c r="G766" s="1"/>
      <c r="H766" s="11"/>
      <c r="I766" s="1"/>
      <c r="J766" s="7"/>
      <c r="K766" s="8"/>
      <c r="L766" s="11"/>
      <c r="M766" s="12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  <c r="Z766" s="14"/>
      <c r="AA766" s="14"/>
      <c r="AB766" s="14"/>
      <c r="AC766" s="14"/>
      <c r="AD766" s="14"/>
      <c r="AE766" s="14"/>
      <c r="AF766" s="14"/>
      <c r="AG766" s="14"/>
      <c r="AH766" s="14"/>
    </row>
    <row r="767" spans="1:34" x14ac:dyDescent="0.25">
      <c r="A767" s="14"/>
      <c r="B767" s="5"/>
      <c r="C767" s="12"/>
      <c r="D767" s="11"/>
      <c r="E767" s="224"/>
      <c r="F767" s="11"/>
      <c r="G767" s="1"/>
      <c r="H767" s="11"/>
      <c r="I767" s="1"/>
      <c r="J767" s="7"/>
      <c r="K767" s="8"/>
      <c r="L767" s="11"/>
      <c r="M767" s="12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  <c r="Z767" s="14"/>
      <c r="AA767" s="14"/>
      <c r="AB767" s="14"/>
      <c r="AC767" s="14"/>
      <c r="AD767" s="14"/>
      <c r="AE767" s="14"/>
      <c r="AF767" s="14"/>
      <c r="AG767" s="14"/>
      <c r="AH767" s="14"/>
    </row>
    <row r="768" spans="1:34" x14ac:dyDescent="0.25">
      <c r="A768" s="14"/>
      <c r="B768" s="5"/>
      <c r="C768" s="12"/>
      <c r="D768" s="11"/>
      <c r="E768" s="224"/>
      <c r="F768" s="11"/>
      <c r="G768" s="1"/>
      <c r="H768" s="11"/>
      <c r="I768" s="1"/>
      <c r="J768" s="7"/>
      <c r="K768" s="8"/>
      <c r="L768" s="11"/>
      <c r="M768" s="12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  <c r="Z768" s="14"/>
      <c r="AA768" s="14"/>
      <c r="AB768" s="14"/>
      <c r="AC768" s="14"/>
      <c r="AD768" s="14"/>
      <c r="AE768" s="14"/>
      <c r="AF768" s="14"/>
      <c r="AG768" s="14"/>
      <c r="AH768" s="14"/>
    </row>
    <row r="769" spans="1:34" x14ac:dyDescent="0.25">
      <c r="A769" s="14"/>
      <c r="B769" s="5"/>
      <c r="C769" s="12"/>
      <c r="D769" s="11"/>
      <c r="E769" s="224"/>
      <c r="F769" s="11"/>
      <c r="G769" s="1"/>
      <c r="H769" s="11"/>
      <c r="I769" s="1"/>
      <c r="J769" s="7"/>
      <c r="K769" s="8"/>
      <c r="L769" s="11"/>
      <c r="M769" s="12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  <c r="Z769" s="14"/>
      <c r="AA769" s="14"/>
      <c r="AB769" s="14"/>
      <c r="AC769" s="14"/>
      <c r="AD769" s="14"/>
      <c r="AE769" s="14"/>
      <c r="AF769" s="14"/>
      <c r="AG769" s="14"/>
      <c r="AH769" s="14"/>
    </row>
    <row r="770" spans="1:34" x14ac:dyDescent="0.25">
      <c r="A770" s="14"/>
      <c r="B770" s="5"/>
      <c r="C770" s="12"/>
      <c r="D770" s="11"/>
      <c r="E770" s="224"/>
      <c r="F770" s="11"/>
      <c r="G770" s="1"/>
      <c r="H770" s="11"/>
      <c r="I770" s="1"/>
      <c r="J770" s="7"/>
      <c r="K770" s="8"/>
      <c r="L770" s="11"/>
      <c r="M770" s="12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  <c r="Z770" s="14"/>
      <c r="AA770" s="14"/>
      <c r="AB770" s="14"/>
      <c r="AC770" s="14"/>
      <c r="AD770" s="14"/>
      <c r="AE770" s="14"/>
      <c r="AF770" s="14"/>
      <c r="AG770" s="14"/>
      <c r="AH770" s="14"/>
    </row>
    <row r="771" spans="1:34" x14ac:dyDescent="0.25">
      <c r="A771" s="14"/>
      <c r="B771" s="5"/>
      <c r="C771" s="12"/>
      <c r="D771" s="11"/>
      <c r="E771" s="224"/>
      <c r="F771" s="11"/>
      <c r="G771" s="1"/>
      <c r="H771" s="11"/>
      <c r="I771" s="1"/>
      <c r="J771" s="7"/>
      <c r="K771" s="8"/>
      <c r="L771" s="11"/>
      <c r="M771" s="12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  <c r="Z771" s="14"/>
      <c r="AA771" s="14"/>
      <c r="AB771" s="14"/>
      <c r="AC771" s="14"/>
      <c r="AD771" s="14"/>
      <c r="AE771" s="14"/>
      <c r="AF771" s="14"/>
      <c r="AG771" s="14"/>
      <c r="AH771" s="14"/>
    </row>
    <row r="772" spans="1:34" x14ac:dyDescent="0.25">
      <c r="A772" s="14"/>
      <c r="B772" s="5"/>
      <c r="C772" s="12"/>
      <c r="D772" s="11"/>
      <c r="E772" s="224"/>
      <c r="F772" s="11"/>
      <c r="G772" s="1"/>
      <c r="H772" s="11"/>
      <c r="I772" s="1"/>
      <c r="J772" s="7"/>
      <c r="K772" s="8"/>
      <c r="L772" s="11"/>
      <c r="M772" s="12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  <c r="Z772" s="14"/>
      <c r="AA772" s="14"/>
      <c r="AB772" s="14"/>
      <c r="AC772" s="14"/>
      <c r="AD772" s="14"/>
      <c r="AE772" s="14"/>
      <c r="AF772" s="14"/>
      <c r="AG772" s="14"/>
      <c r="AH772" s="14"/>
    </row>
    <row r="773" spans="1:34" x14ac:dyDescent="0.25">
      <c r="A773" s="14"/>
      <c r="B773" s="5"/>
      <c r="C773" s="12"/>
      <c r="D773" s="11"/>
      <c r="E773" s="224"/>
      <c r="F773" s="11"/>
      <c r="G773" s="1"/>
      <c r="H773" s="11"/>
      <c r="I773" s="1"/>
      <c r="J773" s="7"/>
      <c r="K773" s="8"/>
      <c r="L773" s="11"/>
      <c r="M773" s="12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  <c r="Z773" s="14"/>
      <c r="AA773" s="14"/>
      <c r="AB773" s="14"/>
      <c r="AC773" s="14"/>
      <c r="AD773" s="14"/>
      <c r="AE773" s="14"/>
      <c r="AF773" s="14"/>
      <c r="AG773" s="14"/>
      <c r="AH773" s="14"/>
    </row>
    <row r="774" spans="1:34" x14ac:dyDescent="0.25">
      <c r="A774" s="14"/>
      <c r="B774" s="5"/>
      <c r="C774" s="12"/>
      <c r="D774" s="11"/>
      <c r="E774" s="224"/>
      <c r="F774" s="11"/>
      <c r="G774" s="1"/>
      <c r="H774" s="11"/>
      <c r="I774" s="1"/>
      <c r="J774" s="7"/>
      <c r="K774" s="8"/>
      <c r="L774" s="11"/>
      <c r="M774" s="12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  <c r="Z774" s="14"/>
      <c r="AA774" s="14"/>
      <c r="AB774" s="14"/>
      <c r="AC774" s="14"/>
      <c r="AD774" s="14"/>
      <c r="AE774" s="14"/>
      <c r="AF774" s="14"/>
      <c r="AG774" s="14"/>
      <c r="AH774" s="14"/>
    </row>
    <row r="775" spans="1:34" x14ac:dyDescent="0.25">
      <c r="A775" s="14"/>
      <c r="B775" s="5"/>
      <c r="C775" s="12"/>
      <c r="D775" s="11"/>
      <c r="E775" s="224"/>
      <c r="F775" s="11"/>
      <c r="G775" s="1"/>
      <c r="H775" s="11"/>
      <c r="I775" s="1"/>
      <c r="J775" s="7"/>
      <c r="K775" s="8"/>
      <c r="L775" s="11"/>
      <c r="M775" s="12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  <c r="Z775" s="14"/>
      <c r="AA775" s="14"/>
      <c r="AB775" s="14"/>
      <c r="AC775" s="14"/>
      <c r="AD775" s="14"/>
      <c r="AE775" s="14"/>
      <c r="AF775" s="14"/>
      <c r="AG775" s="14"/>
      <c r="AH775" s="14"/>
    </row>
    <row r="776" spans="1:34" x14ac:dyDescent="0.25">
      <c r="A776" s="14"/>
      <c r="B776" s="5"/>
      <c r="C776" s="12"/>
      <c r="D776" s="11"/>
      <c r="E776" s="224"/>
      <c r="F776" s="11"/>
      <c r="G776" s="1"/>
      <c r="H776" s="11"/>
      <c r="I776" s="1"/>
      <c r="J776" s="7"/>
      <c r="K776" s="8"/>
      <c r="L776" s="11"/>
      <c r="M776" s="12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  <c r="Z776" s="14"/>
      <c r="AA776" s="14"/>
      <c r="AB776" s="14"/>
      <c r="AC776" s="14"/>
      <c r="AD776" s="14"/>
      <c r="AE776" s="14"/>
      <c r="AF776" s="14"/>
      <c r="AG776" s="14"/>
      <c r="AH776" s="14"/>
    </row>
    <row r="777" spans="1:34" x14ac:dyDescent="0.25">
      <c r="A777" s="14"/>
      <c r="B777" s="5"/>
      <c r="C777" s="12"/>
      <c r="D777" s="11"/>
      <c r="E777" s="224"/>
      <c r="F777" s="11"/>
      <c r="G777" s="1"/>
      <c r="H777" s="11"/>
      <c r="I777" s="1"/>
      <c r="J777" s="7"/>
      <c r="K777" s="8"/>
      <c r="L777" s="11"/>
      <c r="M777" s="12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  <c r="Z777" s="14"/>
      <c r="AA777" s="14"/>
      <c r="AB777" s="14"/>
      <c r="AC777" s="14"/>
      <c r="AD777" s="14"/>
      <c r="AE777" s="14"/>
      <c r="AF777" s="14"/>
      <c r="AG777" s="14"/>
      <c r="AH777" s="14"/>
    </row>
    <row r="778" spans="1:34" x14ac:dyDescent="0.25">
      <c r="A778" s="14"/>
      <c r="B778" s="5"/>
      <c r="C778" s="12"/>
      <c r="D778" s="11"/>
      <c r="E778" s="224"/>
      <c r="F778" s="11"/>
      <c r="G778" s="1"/>
      <c r="H778" s="11"/>
      <c r="I778" s="1"/>
      <c r="J778" s="7"/>
      <c r="K778" s="8"/>
      <c r="L778" s="11"/>
      <c r="M778" s="12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  <c r="Z778" s="14"/>
      <c r="AA778" s="14"/>
      <c r="AB778" s="14"/>
      <c r="AC778" s="14"/>
      <c r="AD778" s="14"/>
      <c r="AE778" s="14"/>
      <c r="AF778" s="14"/>
      <c r="AG778" s="14"/>
      <c r="AH778" s="14"/>
    </row>
    <row r="779" spans="1:34" x14ac:dyDescent="0.25">
      <c r="A779" s="14"/>
      <c r="B779" s="5"/>
      <c r="C779" s="12"/>
      <c r="D779" s="11"/>
      <c r="E779" s="224"/>
      <c r="F779" s="11"/>
      <c r="G779" s="1"/>
      <c r="H779" s="11"/>
      <c r="I779" s="1"/>
      <c r="J779" s="7"/>
      <c r="K779" s="8"/>
      <c r="L779" s="11"/>
      <c r="M779" s="12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  <c r="Z779" s="14"/>
      <c r="AA779" s="14"/>
      <c r="AB779" s="14"/>
      <c r="AC779" s="14"/>
      <c r="AD779" s="14"/>
      <c r="AE779" s="14"/>
      <c r="AF779" s="14"/>
      <c r="AG779" s="14"/>
      <c r="AH779" s="14"/>
    </row>
    <row r="780" spans="1:34" x14ac:dyDescent="0.25">
      <c r="A780" s="14"/>
      <c r="B780" s="5"/>
      <c r="C780" s="12"/>
      <c r="D780" s="11"/>
      <c r="E780" s="224"/>
      <c r="F780" s="11"/>
      <c r="G780" s="1"/>
      <c r="H780" s="11"/>
      <c r="I780" s="1"/>
      <c r="J780" s="7"/>
      <c r="K780" s="8"/>
      <c r="L780" s="11"/>
      <c r="M780" s="12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  <c r="Z780" s="14"/>
      <c r="AA780" s="14"/>
      <c r="AB780" s="14"/>
      <c r="AC780" s="14"/>
      <c r="AD780" s="14"/>
      <c r="AE780" s="14"/>
      <c r="AF780" s="14"/>
      <c r="AG780" s="14"/>
      <c r="AH780" s="14"/>
    </row>
    <row r="781" spans="1:34" x14ac:dyDescent="0.25">
      <c r="A781" s="14"/>
      <c r="B781" s="5"/>
      <c r="C781" s="12"/>
      <c r="D781" s="11"/>
      <c r="E781" s="224"/>
      <c r="F781" s="11"/>
      <c r="G781" s="1"/>
      <c r="H781" s="11"/>
      <c r="I781" s="1"/>
      <c r="J781" s="7"/>
      <c r="K781" s="8"/>
      <c r="L781" s="11"/>
      <c r="M781" s="12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  <c r="Z781" s="14"/>
      <c r="AA781" s="14"/>
      <c r="AB781" s="14"/>
      <c r="AC781" s="14"/>
      <c r="AD781" s="14"/>
      <c r="AE781" s="14"/>
      <c r="AF781" s="14"/>
      <c r="AG781" s="14"/>
      <c r="AH781" s="14"/>
    </row>
    <row r="782" spans="1:34" x14ac:dyDescent="0.25">
      <c r="A782" s="14"/>
      <c r="B782" s="5"/>
      <c r="C782" s="12"/>
      <c r="D782" s="11"/>
      <c r="E782" s="224"/>
      <c r="F782" s="11"/>
      <c r="G782" s="1"/>
      <c r="H782" s="11"/>
      <c r="I782" s="1"/>
      <c r="J782" s="7"/>
      <c r="K782" s="8"/>
      <c r="L782" s="11"/>
      <c r="M782" s="12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  <c r="Z782" s="14"/>
      <c r="AA782" s="14"/>
      <c r="AB782" s="14"/>
      <c r="AC782" s="14"/>
      <c r="AD782" s="14"/>
      <c r="AE782" s="14"/>
      <c r="AF782" s="14"/>
      <c r="AG782" s="14"/>
      <c r="AH782" s="14"/>
    </row>
    <row r="783" spans="1:34" x14ac:dyDescent="0.25">
      <c r="A783" s="14"/>
      <c r="B783" s="5"/>
      <c r="C783" s="12"/>
      <c r="D783" s="11"/>
      <c r="E783" s="224"/>
      <c r="F783" s="11"/>
      <c r="G783" s="1"/>
      <c r="H783" s="11"/>
      <c r="I783" s="1"/>
      <c r="J783" s="7"/>
      <c r="K783" s="8"/>
      <c r="L783" s="11"/>
      <c r="M783" s="12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  <c r="Z783" s="14"/>
      <c r="AA783" s="14"/>
      <c r="AB783" s="14"/>
      <c r="AC783" s="14"/>
      <c r="AD783" s="14"/>
      <c r="AE783" s="14"/>
      <c r="AF783" s="14"/>
      <c r="AG783" s="14"/>
      <c r="AH783" s="14"/>
    </row>
    <row r="784" spans="1:34" x14ac:dyDescent="0.25">
      <c r="A784" s="14"/>
      <c r="B784" s="5"/>
      <c r="C784" s="12"/>
      <c r="D784" s="11"/>
      <c r="E784" s="224"/>
      <c r="F784" s="11"/>
      <c r="G784" s="1"/>
      <c r="H784" s="11"/>
      <c r="I784" s="1"/>
      <c r="J784" s="7"/>
      <c r="K784" s="8"/>
      <c r="L784" s="11"/>
      <c r="M784" s="12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  <c r="Z784" s="14"/>
      <c r="AA784" s="14"/>
      <c r="AB784" s="14"/>
      <c r="AC784" s="14"/>
      <c r="AD784" s="14"/>
      <c r="AE784" s="14"/>
      <c r="AF784" s="14"/>
      <c r="AG784" s="14"/>
      <c r="AH784" s="14"/>
    </row>
    <row r="785" spans="1:34" x14ac:dyDescent="0.25">
      <c r="A785" s="14"/>
      <c r="B785" s="5"/>
      <c r="C785" s="12"/>
      <c r="D785" s="11"/>
      <c r="E785" s="224"/>
      <c r="F785" s="11"/>
      <c r="G785" s="1"/>
      <c r="H785" s="11"/>
      <c r="I785" s="1"/>
      <c r="J785" s="7"/>
      <c r="K785" s="8"/>
      <c r="L785" s="11"/>
      <c r="M785" s="12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  <c r="Z785" s="14"/>
      <c r="AA785" s="14"/>
      <c r="AB785" s="14"/>
      <c r="AC785" s="14"/>
      <c r="AD785" s="14"/>
      <c r="AE785" s="14"/>
      <c r="AF785" s="14"/>
      <c r="AG785" s="14"/>
      <c r="AH785" s="14"/>
    </row>
    <row r="786" spans="1:34" x14ac:dyDescent="0.25">
      <c r="A786" s="14"/>
      <c r="B786" s="5"/>
      <c r="C786" s="12"/>
      <c r="D786" s="11"/>
      <c r="E786" s="224"/>
      <c r="F786" s="11"/>
      <c r="G786" s="1"/>
      <c r="H786" s="11"/>
      <c r="I786" s="1"/>
      <c r="J786" s="7"/>
      <c r="K786" s="8"/>
      <c r="L786" s="11"/>
      <c r="M786" s="12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  <c r="Z786" s="14"/>
      <c r="AA786" s="14"/>
      <c r="AB786" s="14"/>
      <c r="AC786" s="14"/>
      <c r="AD786" s="14"/>
      <c r="AE786" s="14"/>
      <c r="AF786" s="14"/>
      <c r="AG786" s="14"/>
      <c r="AH786" s="14"/>
    </row>
    <row r="787" spans="1:34" x14ac:dyDescent="0.25">
      <c r="A787" s="14"/>
      <c r="B787" s="5"/>
      <c r="C787" s="12"/>
      <c r="D787" s="11"/>
      <c r="E787" s="224"/>
      <c r="F787" s="11"/>
      <c r="G787" s="1"/>
      <c r="H787" s="11"/>
      <c r="I787" s="1"/>
      <c r="J787" s="7"/>
      <c r="K787" s="8"/>
      <c r="L787" s="11"/>
      <c r="M787" s="12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  <c r="Z787" s="14"/>
      <c r="AA787" s="14"/>
      <c r="AB787" s="14"/>
      <c r="AC787" s="14"/>
      <c r="AD787" s="14"/>
      <c r="AE787" s="14"/>
      <c r="AF787" s="14"/>
      <c r="AG787" s="14"/>
      <c r="AH787" s="14"/>
    </row>
    <row r="788" spans="1:34" x14ac:dyDescent="0.25">
      <c r="A788" s="14"/>
      <c r="B788" s="5"/>
      <c r="C788" s="12"/>
      <c r="D788" s="11"/>
      <c r="E788" s="224"/>
      <c r="F788" s="11"/>
      <c r="G788" s="1"/>
      <c r="H788" s="11"/>
      <c r="I788" s="1"/>
      <c r="J788" s="7"/>
      <c r="K788" s="8"/>
      <c r="L788" s="11"/>
      <c r="M788" s="12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  <c r="Z788" s="14"/>
      <c r="AA788" s="14"/>
      <c r="AB788" s="14"/>
      <c r="AC788" s="14"/>
      <c r="AD788" s="14"/>
      <c r="AE788" s="14"/>
      <c r="AF788" s="14"/>
      <c r="AG788" s="14"/>
      <c r="AH788" s="14"/>
    </row>
    <row r="789" spans="1:34" x14ac:dyDescent="0.25">
      <c r="A789" s="14"/>
      <c r="B789" s="5"/>
      <c r="C789" s="12"/>
      <c r="D789" s="11"/>
      <c r="E789" s="224"/>
      <c r="F789" s="11"/>
      <c r="G789" s="1"/>
      <c r="H789" s="11"/>
      <c r="I789" s="1"/>
      <c r="J789" s="7"/>
      <c r="K789" s="8"/>
      <c r="L789" s="11"/>
      <c r="M789" s="12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  <c r="Z789" s="14"/>
      <c r="AA789" s="14"/>
      <c r="AB789" s="14"/>
      <c r="AC789" s="14"/>
      <c r="AD789" s="14"/>
      <c r="AE789" s="14"/>
      <c r="AF789" s="14"/>
      <c r="AG789" s="14"/>
      <c r="AH789" s="14"/>
    </row>
    <row r="790" spans="1:34" x14ac:dyDescent="0.25">
      <c r="A790" s="14"/>
      <c r="B790" s="5"/>
      <c r="C790" s="12"/>
      <c r="D790" s="11"/>
      <c r="E790" s="224"/>
      <c r="F790" s="11"/>
      <c r="G790" s="1"/>
      <c r="H790" s="11"/>
      <c r="I790" s="1"/>
      <c r="J790" s="7"/>
      <c r="K790" s="8"/>
      <c r="L790" s="11"/>
      <c r="M790" s="12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  <c r="Z790" s="14"/>
      <c r="AA790" s="14"/>
      <c r="AB790" s="14"/>
      <c r="AC790" s="14"/>
      <c r="AD790" s="14"/>
      <c r="AE790" s="14"/>
      <c r="AF790" s="14"/>
      <c r="AG790" s="14"/>
      <c r="AH790" s="14"/>
    </row>
    <row r="791" spans="1:34" x14ac:dyDescent="0.25">
      <c r="A791" s="14"/>
      <c r="B791" s="5"/>
      <c r="C791" s="12"/>
      <c r="D791" s="11"/>
      <c r="E791" s="224"/>
      <c r="F791" s="11"/>
      <c r="G791" s="1"/>
      <c r="H791" s="11"/>
      <c r="I791" s="1"/>
      <c r="J791" s="7"/>
      <c r="K791" s="8"/>
      <c r="L791" s="11"/>
      <c r="M791" s="12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  <c r="Z791" s="14"/>
      <c r="AA791" s="14"/>
      <c r="AB791" s="14"/>
      <c r="AC791" s="14"/>
      <c r="AD791" s="14"/>
      <c r="AE791" s="14"/>
      <c r="AF791" s="14"/>
      <c r="AG791" s="14"/>
      <c r="AH791" s="14"/>
    </row>
    <row r="792" spans="1:34" x14ac:dyDescent="0.25">
      <c r="A792" s="14"/>
      <c r="B792" s="5"/>
      <c r="C792" s="12"/>
      <c r="D792" s="11"/>
      <c r="E792" s="224"/>
      <c r="F792" s="11"/>
      <c r="G792" s="1"/>
      <c r="H792" s="11"/>
      <c r="I792" s="1"/>
      <c r="J792" s="7"/>
      <c r="K792" s="8"/>
      <c r="L792" s="11"/>
      <c r="M792" s="12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  <c r="Z792" s="14"/>
      <c r="AA792" s="14"/>
      <c r="AB792" s="14"/>
      <c r="AC792" s="14"/>
      <c r="AD792" s="14"/>
      <c r="AE792" s="14"/>
      <c r="AF792" s="14"/>
      <c r="AG792" s="14"/>
      <c r="AH792" s="14"/>
    </row>
    <row r="793" spans="1:34" x14ac:dyDescent="0.25">
      <c r="A793" s="14"/>
      <c r="B793" s="5"/>
      <c r="C793" s="12"/>
      <c r="D793" s="11"/>
      <c r="E793" s="224"/>
      <c r="F793" s="11"/>
      <c r="G793" s="1"/>
      <c r="H793" s="11"/>
      <c r="I793" s="1"/>
      <c r="J793" s="7"/>
      <c r="K793" s="8"/>
      <c r="L793" s="11"/>
      <c r="M793" s="12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  <c r="Z793" s="14"/>
      <c r="AA793" s="14"/>
      <c r="AB793" s="14"/>
      <c r="AC793" s="14"/>
      <c r="AD793" s="14"/>
      <c r="AE793" s="14"/>
      <c r="AF793" s="14"/>
      <c r="AG793" s="14"/>
      <c r="AH793" s="14"/>
    </row>
    <row r="794" spans="1:34" x14ac:dyDescent="0.25">
      <c r="A794" s="14"/>
      <c r="B794" s="5"/>
      <c r="C794" s="12"/>
      <c r="D794" s="11"/>
      <c r="E794" s="224"/>
      <c r="F794" s="11"/>
      <c r="G794" s="1"/>
      <c r="H794" s="11"/>
      <c r="I794" s="1"/>
      <c r="J794" s="7"/>
      <c r="K794" s="8"/>
      <c r="L794" s="11"/>
      <c r="M794" s="12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  <c r="Z794" s="14"/>
      <c r="AA794" s="14"/>
      <c r="AB794" s="14"/>
      <c r="AC794" s="14"/>
      <c r="AD794" s="14"/>
      <c r="AE794" s="14"/>
      <c r="AF794" s="14"/>
      <c r="AG794" s="14"/>
      <c r="AH794" s="14"/>
    </row>
    <row r="795" spans="1:34" x14ac:dyDescent="0.25">
      <c r="A795" s="14"/>
      <c r="B795" s="5"/>
      <c r="C795" s="12"/>
      <c r="D795" s="11"/>
      <c r="E795" s="224"/>
      <c r="F795" s="11"/>
      <c r="G795" s="1"/>
      <c r="H795" s="11"/>
      <c r="I795" s="1"/>
      <c r="J795" s="7"/>
      <c r="K795" s="8"/>
      <c r="L795" s="11"/>
      <c r="M795" s="12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  <c r="Z795" s="14"/>
      <c r="AA795" s="14"/>
      <c r="AB795" s="14"/>
      <c r="AC795" s="14"/>
      <c r="AD795" s="14"/>
      <c r="AE795" s="14"/>
      <c r="AF795" s="14"/>
      <c r="AG795" s="14"/>
      <c r="AH795" s="14"/>
    </row>
    <row r="796" spans="1:34" x14ac:dyDescent="0.25">
      <c r="A796" s="14"/>
      <c r="B796" s="5"/>
      <c r="C796" s="12"/>
      <c r="D796" s="11"/>
      <c r="E796" s="224"/>
      <c r="F796" s="11"/>
      <c r="G796" s="1"/>
      <c r="H796" s="11"/>
      <c r="I796" s="1"/>
      <c r="J796" s="7"/>
      <c r="K796" s="8"/>
      <c r="L796" s="11"/>
      <c r="M796" s="12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  <c r="Z796" s="14"/>
      <c r="AA796" s="14"/>
      <c r="AB796" s="14"/>
      <c r="AC796" s="14"/>
      <c r="AD796" s="14"/>
      <c r="AE796" s="14"/>
      <c r="AF796" s="14"/>
      <c r="AG796" s="14"/>
      <c r="AH796" s="14"/>
    </row>
    <row r="797" spans="1:34" x14ac:dyDescent="0.25">
      <c r="A797" s="14"/>
      <c r="B797" s="5"/>
      <c r="C797" s="12"/>
      <c r="D797" s="11"/>
      <c r="E797" s="224"/>
      <c r="F797" s="11"/>
      <c r="G797" s="1"/>
      <c r="H797" s="11"/>
      <c r="I797" s="1"/>
      <c r="J797" s="7"/>
      <c r="K797" s="8"/>
      <c r="L797" s="11"/>
      <c r="M797" s="12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  <c r="Z797" s="14"/>
      <c r="AA797" s="14"/>
      <c r="AB797" s="14"/>
      <c r="AC797" s="14"/>
      <c r="AD797" s="14"/>
      <c r="AE797" s="14"/>
      <c r="AF797" s="14"/>
      <c r="AG797" s="14"/>
      <c r="AH797" s="14"/>
    </row>
    <row r="798" spans="1:34" x14ac:dyDescent="0.25">
      <c r="A798" s="14"/>
      <c r="B798" s="5"/>
      <c r="C798" s="12"/>
      <c r="D798" s="11"/>
      <c r="E798" s="224"/>
      <c r="F798" s="11"/>
      <c r="G798" s="1"/>
      <c r="H798" s="11"/>
      <c r="I798" s="1"/>
      <c r="J798" s="7"/>
      <c r="K798" s="8"/>
      <c r="L798" s="11"/>
      <c r="M798" s="12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  <c r="Z798" s="14"/>
      <c r="AA798" s="14"/>
      <c r="AB798" s="14"/>
      <c r="AC798" s="14"/>
      <c r="AD798" s="14"/>
      <c r="AE798" s="14"/>
      <c r="AF798" s="14"/>
      <c r="AG798" s="14"/>
      <c r="AH798" s="14"/>
    </row>
    <row r="799" spans="1:34" x14ac:dyDescent="0.25">
      <c r="A799" s="14"/>
      <c r="B799" s="5"/>
      <c r="C799" s="12"/>
      <c r="D799" s="11"/>
      <c r="E799" s="224"/>
      <c r="F799" s="11"/>
      <c r="G799" s="1"/>
      <c r="H799" s="11"/>
      <c r="I799" s="1"/>
      <c r="J799" s="7"/>
      <c r="K799" s="8"/>
      <c r="L799" s="11"/>
      <c r="M799" s="12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  <c r="Z799" s="14"/>
      <c r="AA799" s="14"/>
      <c r="AB799" s="14"/>
      <c r="AC799" s="14"/>
      <c r="AD799" s="14"/>
      <c r="AE799" s="14"/>
      <c r="AF799" s="14"/>
      <c r="AG799" s="14"/>
      <c r="AH799" s="14"/>
    </row>
    <row r="800" spans="1:34" x14ac:dyDescent="0.25">
      <c r="A800" s="14"/>
      <c r="B800" s="5"/>
      <c r="C800" s="12"/>
      <c r="D800" s="11"/>
      <c r="E800" s="224"/>
      <c r="F800" s="11"/>
      <c r="G800" s="1"/>
      <c r="H800" s="11"/>
      <c r="I800" s="1"/>
      <c r="J800" s="7"/>
      <c r="K800" s="8"/>
      <c r="L800" s="11"/>
      <c r="M800" s="12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  <c r="Z800" s="14"/>
      <c r="AA800" s="14"/>
      <c r="AB800" s="14"/>
      <c r="AC800" s="14"/>
      <c r="AD800" s="14"/>
      <c r="AE800" s="14"/>
      <c r="AF800" s="14"/>
      <c r="AG800" s="14"/>
      <c r="AH800" s="14"/>
    </row>
    <row r="801" spans="1:34" x14ac:dyDescent="0.25">
      <c r="A801" s="14"/>
      <c r="B801" s="5"/>
      <c r="C801" s="12"/>
      <c r="D801" s="11"/>
      <c r="E801" s="224"/>
      <c r="F801" s="11"/>
      <c r="G801" s="1"/>
      <c r="H801" s="11"/>
      <c r="I801" s="1"/>
      <c r="J801" s="7"/>
      <c r="K801" s="8"/>
      <c r="L801" s="11"/>
      <c r="M801" s="12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  <c r="Z801" s="14"/>
      <c r="AA801" s="14"/>
      <c r="AB801" s="14"/>
      <c r="AC801" s="14"/>
      <c r="AD801" s="14"/>
      <c r="AE801" s="14"/>
      <c r="AF801" s="14"/>
      <c r="AG801" s="14"/>
      <c r="AH801" s="14"/>
    </row>
    <row r="802" spans="1:34" x14ac:dyDescent="0.25">
      <c r="A802" s="14"/>
      <c r="B802" s="5"/>
      <c r="C802" s="12"/>
      <c r="D802" s="11"/>
      <c r="E802" s="224"/>
      <c r="F802" s="11"/>
      <c r="G802" s="1"/>
      <c r="H802" s="11"/>
      <c r="I802" s="1"/>
      <c r="J802" s="7"/>
      <c r="K802" s="8"/>
      <c r="L802" s="11"/>
      <c r="M802" s="12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  <c r="Z802" s="14"/>
      <c r="AA802" s="14"/>
      <c r="AB802" s="14"/>
      <c r="AC802" s="14"/>
      <c r="AD802" s="14"/>
      <c r="AE802" s="14"/>
      <c r="AF802" s="14"/>
      <c r="AG802" s="14"/>
      <c r="AH802" s="14"/>
    </row>
    <row r="803" spans="1:34" x14ac:dyDescent="0.25">
      <c r="A803" s="14"/>
      <c r="B803" s="5"/>
      <c r="C803" s="12"/>
      <c r="D803" s="11"/>
      <c r="E803" s="224"/>
      <c r="F803" s="11"/>
      <c r="G803" s="1"/>
      <c r="H803" s="11"/>
      <c r="I803" s="1"/>
      <c r="J803" s="7"/>
      <c r="K803" s="8"/>
      <c r="L803" s="11"/>
      <c r="M803" s="12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  <c r="Z803" s="14"/>
      <c r="AA803" s="14"/>
      <c r="AB803" s="14"/>
      <c r="AC803" s="14"/>
      <c r="AD803" s="14"/>
      <c r="AE803" s="14"/>
      <c r="AF803" s="14"/>
      <c r="AG803" s="14"/>
      <c r="AH803" s="14"/>
    </row>
    <row r="804" spans="1:34" x14ac:dyDescent="0.25">
      <c r="A804" s="14"/>
      <c r="B804" s="5"/>
      <c r="C804" s="12"/>
      <c r="D804" s="11"/>
      <c r="E804" s="224"/>
      <c r="F804" s="11"/>
      <c r="G804" s="1"/>
      <c r="H804" s="11"/>
      <c r="I804" s="1"/>
      <c r="J804" s="7"/>
      <c r="K804" s="8"/>
      <c r="L804" s="11"/>
      <c r="M804" s="12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  <c r="Z804" s="14"/>
      <c r="AA804" s="14"/>
      <c r="AB804" s="14"/>
      <c r="AC804" s="14"/>
      <c r="AD804" s="14"/>
      <c r="AE804" s="14"/>
      <c r="AF804" s="14"/>
      <c r="AG804" s="14"/>
      <c r="AH804" s="14"/>
    </row>
    <row r="805" spans="1:34" x14ac:dyDescent="0.25">
      <c r="A805" s="14"/>
      <c r="B805" s="5"/>
      <c r="C805" s="12"/>
      <c r="D805" s="11"/>
      <c r="E805" s="224"/>
      <c r="F805" s="11"/>
      <c r="G805" s="1"/>
      <c r="H805" s="11"/>
      <c r="I805" s="1"/>
      <c r="J805" s="7"/>
      <c r="K805" s="8"/>
      <c r="L805" s="11"/>
      <c r="M805" s="12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  <c r="Z805" s="14"/>
      <c r="AA805" s="14"/>
      <c r="AB805" s="14"/>
      <c r="AC805" s="14"/>
      <c r="AD805" s="14"/>
      <c r="AE805" s="14"/>
      <c r="AF805" s="14"/>
      <c r="AG805" s="14"/>
      <c r="AH805" s="14"/>
    </row>
    <row r="806" spans="1:34" x14ac:dyDescent="0.25">
      <c r="A806" s="14"/>
      <c r="B806" s="5"/>
      <c r="C806" s="12"/>
      <c r="D806" s="11"/>
      <c r="E806" s="224"/>
      <c r="F806" s="11"/>
      <c r="G806" s="1"/>
      <c r="H806" s="11"/>
      <c r="I806" s="1"/>
      <c r="J806" s="7"/>
      <c r="K806" s="8"/>
      <c r="L806" s="11"/>
      <c r="M806" s="12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  <c r="Z806" s="14"/>
      <c r="AA806" s="14"/>
      <c r="AB806" s="14"/>
      <c r="AC806" s="14"/>
      <c r="AD806" s="14"/>
      <c r="AE806" s="14"/>
      <c r="AF806" s="14"/>
      <c r="AG806" s="14"/>
      <c r="AH806" s="14"/>
    </row>
    <row r="807" spans="1:34" x14ac:dyDescent="0.25">
      <c r="A807" s="14"/>
      <c r="B807" s="5"/>
      <c r="C807" s="12"/>
      <c r="D807" s="11"/>
      <c r="E807" s="224"/>
      <c r="F807" s="11"/>
      <c r="G807" s="1"/>
      <c r="H807" s="11"/>
      <c r="I807" s="1"/>
      <c r="J807" s="7"/>
      <c r="K807" s="8"/>
      <c r="L807" s="11"/>
      <c r="M807" s="12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  <c r="Z807" s="14"/>
      <c r="AA807" s="14"/>
      <c r="AB807" s="14"/>
      <c r="AC807" s="14"/>
      <c r="AD807" s="14"/>
      <c r="AE807" s="14"/>
      <c r="AF807" s="14"/>
      <c r="AG807" s="14"/>
      <c r="AH807" s="14"/>
    </row>
    <row r="808" spans="1:34" x14ac:dyDescent="0.25">
      <c r="A808" s="14"/>
      <c r="B808" s="5"/>
      <c r="C808" s="12"/>
      <c r="D808" s="11"/>
      <c r="E808" s="224"/>
      <c r="F808" s="11"/>
      <c r="G808" s="1"/>
      <c r="H808" s="11"/>
      <c r="I808" s="1"/>
      <c r="J808" s="7"/>
      <c r="K808" s="8"/>
      <c r="L808" s="11"/>
      <c r="M808" s="12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  <c r="Z808" s="14"/>
      <c r="AA808" s="14"/>
      <c r="AB808" s="14"/>
      <c r="AC808" s="14"/>
      <c r="AD808" s="14"/>
      <c r="AE808" s="14"/>
      <c r="AF808" s="14"/>
      <c r="AG808" s="14"/>
      <c r="AH808" s="14"/>
    </row>
    <row r="809" spans="1:34" x14ac:dyDescent="0.25">
      <c r="A809" s="14"/>
      <c r="B809" s="5"/>
      <c r="C809" s="12"/>
      <c r="D809" s="11"/>
      <c r="E809" s="224"/>
      <c r="F809" s="11"/>
      <c r="G809" s="1"/>
      <c r="H809" s="11"/>
      <c r="I809" s="1"/>
      <c r="J809" s="7"/>
      <c r="K809" s="8"/>
      <c r="L809" s="11"/>
      <c r="M809" s="12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  <c r="Z809" s="14"/>
      <c r="AA809" s="14"/>
      <c r="AB809" s="14"/>
      <c r="AC809" s="14"/>
      <c r="AD809" s="14"/>
      <c r="AE809" s="14"/>
      <c r="AF809" s="14"/>
      <c r="AG809" s="14"/>
      <c r="AH809" s="14"/>
    </row>
    <row r="810" spans="1:34" x14ac:dyDescent="0.25">
      <c r="A810" s="14"/>
      <c r="B810" s="5"/>
      <c r="C810" s="12"/>
      <c r="D810" s="11"/>
      <c r="E810" s="224"/>
      <c r="F810" s="11"/>
      <c r="G810" s="1"/>
      <c r="H810" s="11"/>
      <c r="I810" s="1"/>
      <c r="J810" s="7"/>
      <c r="K810" s="8"/>
      <c r="L810" s="11"/>
      <c r="M810" s="12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  <c r="Z810" s="14"/>
      <c r="AA810" s="14"/>
      <c r="AB810" s="14"/>
      <c r="AC810" s="14"/>
      <c r="AD810" s="14"/>
      <c r="AE810" s="14"/>
      <c r="AF810" s="14"/>
      <c r="AG810" s="14"/>
      <c r="AH810" s="14"/>
    </row>
    <row r="811" spans="1:34" x14ac:dyDescent="0.25">
      <c r="A811" s="14"/>
      <c r="B811" s="5"/>
      <c r="C811" s="12"/>
      <c r="D811" s="11"/>
      <c r="E811" s="224"/>
      <c r="F811" s="11"/>
      <c r="G811" s="1"/>
      <c r="H811" s="11"/>
      <c r="I811" s="1"/>
      <c r="J811" s="7"/>
      <c r="K811" s="8"/>
      <c r="L811" s="11"/>
      <c r="M811" s="12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  <c r="Z811" s="14"/>
      <c r="AA811" s="14"/>
      <c r="AB811" s="14"/>
      <c r="AC811" s="14"/>
      <c r="AD811" s="14"/>
      <c r="AE811" s="14"/>
      <c r="AF811" s="14"/>
      <c r="AG811" s="14"/>
      <c r="AH811" s="14"/>
    </row>
    <row r="812" spans="1:34" x14ac:dyDescent="0.25">
      <c r="A812" s="14"/>
      <c r="B812" s="5"/>
      <c r="C812" s="12"/>
      <c r="D812" s="11"/>
      <c r="E812" s="224"/>
      <c r="F812" s="11"/>
      <c r="G812" s="1"/>
      <c r="H812" s="11"/>
      <c r="I812" s="1"/>
      <c r="J812" s="7"/>
      <c r="K812" s="8"/>
      <c r="L812" s="11"/>
      <c r="M812" s="12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  <c r="Z812" s="14"/>
      <c r="AA812" s="14"/>
      <c r="AB812" s="14"/>
      <c r="AC812" s="14"/>
      <c r="AD812" s="14"/>
      <c r="AE812" s="14"/>
      <c r="AF812" s="14"/>
      <c r="AG812" s="14"/>
      <c r="AH812" s="14"/>
    </row>
    <row r="813" spans="1:34" x14ac:dyDescent="0.25">
      <c r="A813" s="14"/>
      <c r="B813" s="5"/>
      <c r="C813" s="12"/>
      <c r="D813" s="11"/>
      <c r="E813" s="224"/>
      <c r="F813" s="11"/>
      <c r="G813" s="1"/>
      <c r="H813" s="11"/>
      <c r="I813" s="1"/>
      <c r="J813" s="7"/>
      <c r="K813" s="8"/>
      <c r="L813" s="11"/>
      <c r="M813" s="12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  <c r="Z813" s="14"/>
      <c r="AA813" s="14"/>
      <c r="AB813" s="14"/>
      <c r="AC813" s="14"/>
      <c r="AD813" s="14"/>
      <c r="AE813" s="14"/>
      <c r="AF813" s="14"/>
      <c r="AG813" s="14"/>
      <c r="AH813" s="14"/>
    </row>
    <row r="814" spans="1:34" x14ac:dyDescent="0.25">
      <c r="A814" s="14"/>
      <c r="B814" s="5"/>
      <c r="C814" s="12"/>
      <c r="D814" s="11"/>
      <c r="E814" s="224"/>
      <c r="F814" s="11"/>
      <c r="G814" s="1"/>
      <c r="H814" s="11"/>
      <c r="I814" s="1"/>
      <c r="J814" s="7"/>
      <c r="K814" s="8"/>
      <c r="L814" s="11"/>
      <c r="M814" s="12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  <c r="Z814" s="14"/>
      <c r="AA814" s="14"/>
      <c r="AB814" s="14"/>
      <c r="AC814" s="14"/>
      <c r="AD814" s="14"/>
      <c r="AE814" s="14"/>
      <c r="AF814" s="14"/>
      <c r="AG814" s="14"/>
      <c r="AH814" s="14"/>
    </row>
    <row r="815" spans="1:34" x14ac:dyDescent="0.25">
      <c r="A815" s="14"/>
      <c r="B815" s="5"/>
      <c r="C815" s="12"/>
      <c r="D815" s="11"/>
      <c r="E815" s="224"/>
      <c r="F815" s="11"/>
      <c r="G815" s="1"/>
      <c r="H815" s="11"/>
      <c r="I815" s="1"/>
      <c r="J815" s="7"/>
      <c r="K815" s="8"/>
      <c r="L815" s="11"/>
      <c r="M815" s="12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  <c r="Z815" s="14"/>
      <c r="AA815" s="14"/>
      <c r="AB815" s="14"/>
      <c r="AC815" s="14"/>
      <c r="AD815" s="14"/>
      <c r="AE815" s="14"/>
      <c r="AF815" s="14"/>
      <c r="AG815" s="14"/>
      <c r="AH815" s="14"/>
    </row>
    <row r="816" spans="1:34" x14ac:dyDescent="0.25">
      <c r="A816" s="14"/>
      <c r="B816" s="5"/>
      <c r="C816" s="12"/>
      <c r="D816" s="11"/>
      <c r="E816" s="224"/>
      <c r="F816" s="11"/>
      <c r="G816" s="1"/>
      <c r="H816" s="11"/>
      <c r="I816" s="1"/>
      <c r="J816" s="7"/>
      <c r="K816" s="8"/>
      <c r="L816" s="11"/>
      <c r="M816" s="12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  <c r="Z816" s="14"/>
      <c r="AA816" s="14"/>
      <c r="AB816" s="14"/>
      <c r="AC816" s="14"/>
      <c r="AD816" s="14"/>
      <c r="AE816" s="14"/>
      <c r="AF816" s="14"/>
      <c r="AG816" s="14"/>
      <c r="AH816" s="14"/>
    </row>
    <row r="817" spans="1:34" x14ac:dyDescent="0.25">
      <c r="A817" s="14"/>
      <c r="B817" s="5"/>
      <c r="C817" s="12"/>
      <c r="D817" s="11"/>
      <c r="E817" s="224"/>
      <c r="F817" s="11"/>
      <c r="G817" s="1"/>
      <c r="H817" s="11"/>
      <c r="I817" s="1"/>
      <c r="J817" s="7"/>
      <c r="K817" s="8"/>
      <c r="L817" s="11"/>
      <c r="M817" s="12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  <c r="Z817" s="14"/>
      <c r="AA817" s="14"/>
      <c r="AB817" s="14"/>
      <c r="AC817" s="14"/>
      <c r="AD817" s="14"/>
      <c r="AE817" s="14"/>
      <c r="AF817" s="14"/>
      <c r="AG817" s="14"/>
      <c r="AH817" s="14"/>
    </row>
    <row r="818" spans="1:34" x14ac:dyDescent="0.25">
      <c r="A818" s="14"/>
      <c r="B818" s="5"/>
      <c r="C818" s="12"/>
      <c r="D818" s="11"/>
      <c r="E818" s="224"/>
      <c r="F818" s="11"/>
      <c r="G818" s="1"/>
      <c r="H818" s="11"/>
      <c r="I818" s="1"/>
      <c r="J818" s="7"/>
      <c r="K818" s="8"/>
      <c r="L818" s="11"/>
      <c r="M818" s="12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  <c r="Z818" s="14"/>
      <c r="AA818" s="14"/>
      <c r="AB818" s="14"/>
      <c r="AC818" s="14"/>
      <c r="AD818" s="14"/>
      <c r="AE818" s="14"/>
      <c r="AF818" s="14"/>
      <c r="AG818" s="14"/>
      <c r="AH818" s="14"/>
    </row>
    <row r="819" spans="1:34" x14ac:dyDescent="0.25">
      <c r="A819" s="14"/>
      <c r="B819" s="5"/>
      <c r="C819" s="12"/>
      <c r="D819" s="11"/>
      <c r="E819" s="224"/>
      <c r="F819" s="11"/>
      <c r="G819" s="1"/>
      <c r="H819" s="11"/>
      <c r="I819" s="1"/>
      <c r="J819" s="7"/>
      <c r="K819" s="8"/>
      <c r="L819" s="11"/>
      <c r="M819" s="12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  <c r="Z819" s="14"/>
      <c r="AA819" s="14"/>
      <c r="AB819" s="14"/>
      <c r="AC819" s="14"/>
      <c r="AD819" s="14"/>
      <c r="AE819" s="14"/>
      <c r="AF819" s="14"/>
      <c r="AG819" s="14"/>
      <c r="AH819" s="14"/>
    </row>
    <row r="820" spans="1:34" x14ac:dyDescent="0.25">
      <c r="A820" s="14"/>
      <c r="B820" s="5"/>
      <c r="C820" s="12"/>
      <c r="D820" s="11"/>
      <c r="E820" s="224"/>
      <c r="F820" s="11"/>
      <c r="G820" s="1"/>
      <c r="H820" s="11"/>
      <c r="I820" s="1"/>
      <c r="J820" s="7"/>
      <c r="K820" s="8"/>
      <c r="L820" s="11"/>
      <c r="M820" s="12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  <c r="Z820" s="14"/>
      <c r="AA820" s="14"/>
      <c r="AB820" s="14"/>
      <c r="AC820" s="14"/>
      <c r="AD820" s="14"/>
      <c r="AE820" s="14"/>
      <c r="AF820" s="14"/>
      <c r="AG820" s="14"/>
      <c r="AH820" s="14"/>
    </row>
    <row r="821" spans="1:34" x14ac:dyDescent="0.25">
      <c r="A821" s="14"/>
      <c r="B821" s="5"/>
      <c r="C821" s="12"/>
      <c r="D821" s="11"/>
      <c r="E821" s="224"/>
      <c r="F821" s="11"/>
      <c r="G821" s="1"/>
      <c r="H821" s="11"/>
      <c r="I821" s="1"/>
      <c r="J821" s="7"/>
      <c r="K821" s="8"/>
      <c r="L821" s="11"/>
      <c r="M821" s="12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  <c r="Z821" s="14"/>
      <c r="AA821" s="14"/>
      <c r="AB821" s="14"/>
      <c r="AC821" s="14"/>
      <c r="AD821" s="14"/>
      <c r="AE821" s="14"/>
      <c r="AF821" s="14"/>
      <c r="AG821" s="14"/>
      <c r="AH821" s="14"/>
    </row>
    <row r="822" spans="1:34" x14ac:dyDescent="0.25">
      <c r="A822" s="14"/>
      <c r="B822" s="5"/>
      <c r="C822" s="12"/>
      <c r="D822" s="11"/>
      <c r="E822" s="224"/>
      <c r="F822" s="11"/>
      <c r="G822" s="1"/>
      <c r="H822" s="11"/>
      <c r="I822" s="1"/>
      <c r="J822" s="7"/>
      <c r="K822" s="8"/>
      <c r="L822" s="11"/>
      <c r="M822" s="12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  <c r="Z822" s="14"/>
      <c r="AA822" s="14"/>
      <c r="AB822" s="14"/>
      <c r="AC822" s="14"/>
      <c r="AD822" s="14"/>
      <c r="AE822" s="14"/>
      <c r="AF822" s="14"/>
      <c r="AG822" s="14"/>
      <c r="AH822" s="14"/>
    </row>
    <row r="823" spans="1:34" x14ac:dyDescent="0.25">
      <c r="A823" s="14"/>
      <c r="B823" s="5"/>
      <c r="C823" s="12"/>
      <c r="D823" s="11"/>
      <c r="E823" s="224"/>
      <c r="F823" s="11"/>
      <c r="G823" s="1"/>
      <c r="H823" s="11"/>
      <c r="I823" s="1"/>
      <c r="J823" s="7"/>
      <c r="K823" s="8"/>
      <c r="L823" s="11"/>
      <c r="M823" s="12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  <c r="Z823" s="14"/>
      <c r="AA823" s="14"/>
      <c r="AB823" s="14"/>
      <c r="AC823" s="14"/>
      <c r="AD823" s="14"/>
      <c r="AE823" s="14"/>
      <c r="AF823" s="14"/>
      <c r="AG823" s="14"/>
      <c r="AH823" s="14"/>
    </row>
    <row r="824" spans="1:34" x14ac:dyDescent="0.25">
      <c r="A824" s="14"/>
      <c r="C824" s="10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  <c r="Z824" s="14"/>
      <c r="AA824" s="14"/>
      <c r="AB824" s="14"/>
      <c r="AC824" s="14"/>
      <c r="AD824" s="14"/>
      <c r="AE824" s="14"/>
      <c r="AF824" s="14"/>
      <c r="AG824" s="14"/>
      <c r="AH824" s="14"/>
    </row>
    <row r="825" spans="1:34" x14ac:dyDescent="0.25">
      <c r="A825" s="14"/>
      <c r="C825" s="10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  <c r="Z825" s="14"/>
      <c r="AA825" s="14"/>
      <c r="AB825" s="14"/>
      <c r="AC825" s="14"/>
      <c r="AD825" s="14"/>
      <c r="AE825" s="14"/>
      <c r="AF825" s="14"/>
      <c r="AG825" s="14"/>
      <c r="AH825" s="14"/>
    </row>
    <row r="826" spans="1:34" x14ac:dyDescent="0.25">
      <c r="A826" s="14"/>
      <c r="C826" s="10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  <c r="Z826" s="14"/>
      <c r="AA826" s="14"/>
      <c r="AB826" s="14"/>
      <c r="AC826" s="14"/>
      <c r="AD826" s="14"/>
      <c r="AE826" s="14"/>
      <c r="AF826" s="14"/>
      <c r="AG826" s="14"/>
      <c r="AH826" s="14"/>
    </row>
    <row r="827" spans="1:34" x14ac:dyDescent="0.25">
      <c r="A827" s="14"/>
      <c r="C827" s="10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  <c r="Z827" s="14"/>
      <c r="AA827" s="14"/>
      <c r="AB827" s="14"/>
      <c r="AC827" s="14"/>
      <c r="AD827" s="14"/>
      <c r="AE827" s="14"/>
      <c r="AF827" s="14"/>
      <c r="AG827" s="14"/>
      <c r="AH827" s="14"/>
    </row>
    <row r="828" spans="1:34" x14ac:dyDescent="0.25">
      <c r="A828" s="14"/>
      <c r="C828" s="10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  <c r="Z828" s="14"/>
      <c r="AA828" s="14"/>
      <c r="AB828" s="14"/>
      <c r="AC828" s="14"/>
      <c r="AD828" s="14"/>
      <c r="AE828" s="14"/>
      <c r="AF828" s="14"/>
      <c r="AG828" s="14"/>
      <c r="AH828" s="14"/>
    </row>
    <row r="829" spans="1:34" x14ac:dyDescent="0.25">
      <c r="A829" s="14"/>
      <c r="C829" s="10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  <c r="Z829" s="14"/>
      <c r="AA829" s="14"/>
      <c r="AB829" s="14"/>
      <c r="AC829" s="14"/>
      <c r="AD829" s="14"/>
      <c r="AE829" s="14"/>
      <c r="AF829" s="14"/>
      <c r="AG829" s="14"/>
      <c r="AH829" s="14"/>
    </row>
    <row r="830" spans="1:34" x14ac:dyDescent="0.25">
      <c r="A830" s="14"/>
      <c r="C830" s="10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  <c r="Z830" s="14"/>
      <c r="AA830" s="14"/>
      <c r="AB830" s="14"/>
      <c r="AC830" s="14"/>
      <c r="AD830" s="14"/>
      <c r="AE830" s="14"/>
      <c r="AF830" s="14"/>
      <c r="AG830" s="14"/>
      <c r="AH830" s="14"/>
    </row>
    <row r="831" spans="1:34" x14ac:dyDescent="0.25">
      <c r="A831" s="14"/>
      <c r="C831" s="10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  <c r="Z831" s="14"/>
      <c r="AA831" s="14"/>
      <c r="AB831" s="14"/>
      <c r="AC831" s="14"/>
      <c r="AD831" s="14"/>
      <c r="AE831" s="14"/>
      <c r="AF831" s="14"/>
      <c r="AG831" s="14"/>
      <c r="AH831" s="14"/>
    </row>
    <row r="832" spans="1:34" x14ac:dyDescent="0.25">
      <c r="A832" s="14"/>
      <c r="C832" s="10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  <c r="Z832" s="14"/>
      <c r="AA832" s="14"/>
      <c r="AB832" s="14"/>
      <c r="AC832" s="14"/>
      <c r="AD832" s="14"/>
      <c r="AE832" s="14"/>
      <c r="AF832" s="14"/>
      <c r="AG832" s="14"/>
      <c r="AH832" s="14"/>
    </row>
    <row r="833" spans="1:34" x14ac:dyDescent="0.25">
      <c r="A833" s="14"/>
      <c r="C833" s="10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  <c r="Z833" s="14"/>
      <c r="AA833" s="14"/>
      <c r="AB833" s="14"/>
      <c r="AC833" s="14"/>
      <c r="AD833" s="14"/>
      <c r="AE833" s="14"/>
      <c r="AF833" s="14"/>
      <c r="AG833" s="14"/>
      <c r="AH833" s="14"/>
    </row>
    <row r="834" spans="1:34" x14ac:dyDescent="0.25">
      <c r="A834" s="14"/>
      <c r="C834" s="10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  <c r="Z834" s="14"/>
      <c r="AA834" s="14"/>
      <c r="AB834" s="14"/>
      <c r="AC834" s="14"/>
      <c r="AD834" s="14"/>
      <c r="AE834" s="14"/>
      <c r="AF834" s="14"/>
      <c r="AG834" s="14"/>
      <c r="AH834" s="14"/>
    </row>
    <row r="835" spans="1:34" x14ac:dyDescent="0.25">
      <c r="A835" s="14"/>
      <c r="C835" s="10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  <c r="Z835" s="14"/>
      <c r="AA835" s="14"/>
      <c r="AB835" s="14"/>
      <c r="AC835" s="14"/>
      <c r="AD835" s="14"/>
      <c r="AE835" s="14"/>
      <c r="AF835" s="14"/>
      <c r="AG835" s="14"/>
      <c r="AH835" s="14"/>
    </row>
    <row r="836" spans="1:34" x14ac:dyDescent="0.25">
      <c r="A836" s="14"/>
      <c r="C836" s="10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  <c r="Z836" s="14"/>
      <c r="AA836" s="14"/>
      <c r="AB836" s="14"/>
      <c r="AC836" s="14"/>
      <c r="AD836" s="14"/>
      <c r="AE836" s="14"/>
      <c r="AF836" s="14"/>
      <c r="AG836" s="14"/>
      <c r="AH836" s="14"/>
    </row>
    <row r="837" spans="1:34" x14ac:dyDescent="0.25">
      <c r="A837" s="14"/>
      <c r="C837" s="10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  <c r="Z837" s="14"/>
      <c r="AA837" s="14"/>
      <c r="AB837" s="14"/>
      <c r="AC837" s="14"/>
      <c r="AD837" s="14"/>
      <c r="AE837" s="14"/>
      <c r="AF837" s="14"/>
      <c r="AG837" s="14"/>
      <c r="AH837" s="14"/>
    </row>
    <row r="838" spans="1:34" x14ac:dyDescent="0.25">
      <c r="A838" s="14"/>
      <c r="C838" s="10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  <c r="Z838" s="14"/>
      <c r="AA838" s="14"/>
      <c r="AB838" s="14"/>
      <c r="AC838" s="14"/>
      <c r="AD838" s="14"/>
      <c r="AE838" s="14"/>
      <c r="AF838" s="14"/>
      <c r="AG838" s="14"/>
      <c r="AH838" s="14"/>
    </row>
    <row r="839" spans="1:34" x14ac:dyDescent="0.25">
      <c r="A839" s="14"/>
      <c r="C839" s="10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  <c r="Z839" s="14"/>
      <c r="AA839" s="14"/>
      <c r="AB839" s="14"/>
      <c r="AC839" s="14"/>
      <c r="AD839" s="14"/>
      <c r="AE839" s="14"/>
      <c r="AF839" s="14"/>
      <c r="AG839" s="14"/>
      <c r="AH839" s="14"/>
    </row>
    <row r="840" spans="1:34" x14ac:dyDescent="0.25">
      <c r="A840" s="14"/>
      <c r="C840" s="10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  <c r="Z840" s="14"/>
      <c r="AA840" s="14"/>
      <c r="AB840" s="14"/>
      <c r="AC840" s="14"/>
      <c r="AD840" s="14"/>
      <c r="AE840" s="14"/>
      <c r="AF840" s="14"/>
      <c r="AG840" s="14"/>
      <c r="AH840" s="14"/>
    </row>
    <row r="841" spans="1:34" x14ac:dyDescent="0.25">
      <c r="A841" s="14"/>
      <c r="C841" s="10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  <c r="Z841" s="14"/>
      <c r="AA841" s="14"/>
      <c r="AB841" s="14"/>
      <c r="AC841" s="14"/>
      <c r="AD841" s="14"/>
      <c r="AE841" s="14"/>
      <c r="AF841" s="14"/>
      <c r="AG841" s="14"/>
      <c r="AH841" s="14"/>
    </row>
    <row r="842" spans="1:34" x14ac:dyDescent="0.25">
      <c r="A842" s="14"/>
      <c r="C842" s="10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  <c r="Z842" s="14"/>
      <c r="AA842" s="14"/>
      <c r="AB842" s="14"/>
      <c r="AC842" s="14"/>
      <c r="AD842" s="14"/>
      <c r="AE842" s="14"/>
      <c r="AF842" s="14"/>
      <c r="AG842" s="14"/>
      <c r="AH842" s="14"/>
    </row>
    <row r="843" spans="1:34" x14ac:dyDescent="0.25">
      <c r="A843" s="14"/>
      <c r="C843" s="10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  <c r="Z843" s="14"/>
      <c r="AA843" s="14"/>
      <c r="AB843" s="14"/>
      <c r="AC843" s="14"/>
      <c r="AD843" s="14"/>
      <c r="AE843" s="14"/>
      <c r="AF843" s="14"/>
      <c r="AG843" s="14"/>
      <c r="AH843" s="14"/>
    </row>
    <row r="844" spans="1:34" x14ac:dyDescent="0.25">
      <c r="A844" s="14"/>
      <c r="C844" s="10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  <c r="Z844" s="14"/>
      <c r="AA844" s="14"/>
      <c r="AB844" s="14"/>
      <c r="AC844" s="14"/>
      <c r="AD844" s="14"/>
      <c r="AE844" s="14"/>
      <c r="AF844" s="14"/>
      <c r="AG844" s="14"/>
      <c r="AH844" s="14"/>
    </row>
    <row r="845" spans="1:34" x14ac:dyDescent="0.25">
      <c r="A845" s="14"/>
      <c r="C845" s="10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  <c r="Z845" s="14"/>
      <c r="AA845" s="14"/>
      <c r="AB845" s="14"/>
      <c r="AC845" s="14"/>
      <c r="AD845" s="14"/>
      <c r="AE845" s="14"/>
      <c r="AF845" s="14"/>
      <c r="AG845" s="14"/>
      <c r="AH845" s="14"/>
    </row>
    <row r="846" spans="1:34" x14ac:dyDescent="0.25">
      <c r="A846" s="14"/>
      <c r="C846" s="10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  <c r="Z846" s="14"/>
      <c r="AA846" s="14"/>
      <c r="AB846" s="14"/>
      <c r="AC846" s="14"/>
      <c r="AD846" s="14"/>
      <c r="AE846" s="14"/>
      <c r="AF846" s="14"/>
      <c r="AG846" s="14"/>
      <c r="AH846" s="14"/>
    </row>
    <row r="847" spans="1:34" x14ac:dyDescent="0.25">
      <c r="A847" s="14"/>
      <c r="C847" s="10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  <c r="Z847" s="14"/>
      <c r="AA847" s="14"/>
      <c r="AB847" s="14"/>
      <c r="AC847" s="14"/>
      <c r="AD847" s="14"/>
      <c r="AE847" s="14"/>
      <c r="AF847" s="14"/>
      <c r="AG847" s="14"/>
      <c r="AH847" s="14"/>
    </row>
    <row r="848" spans="1:34" x14ac:dyDescent="0.25">
      <c r="A848" s="14"/>
      <c r="C848" s="10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  <c r="Z848" s="14"/>
      <c r="AA848" s="14"/>
      <c r="AB848" s="14"/>
      <c r="AC848" s="14"/>
      <c r="AD848" s="14"/>
      <c r="AE848" s="14"/>
      <c r="AF848" s="14"/>
      <c r="AG848" s="14"/>
      <c r="AH848" s="14"/>
    </row>
    <row r="849" spans="1:34" x14ac:dyDescent="0.25">
      <c r="A849" s="14"/>
      <c r="C849" s="10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  <c r="Z849" s="14"/>
      <c r="AA849" s="14"/>
      <c r="AB849" s="14"/>
      <c r="AC849" s="14"/>
      <c r="AD849" s="14"/>
      <c r="AE849" s="14"/>
      <c r="AF849" s="14"/>
      <c r="AG849" s="14"/>
      <c r="AH849" s="14"/>
    </row>
    <row r="850" spans="1:34" x14ac:dyDescent="0.25">
      <c r="A850" s="14"/>
      <c r="C850" s="10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  <c r="Z850" s="14"/>
      <c r="AA850" s="14"/>
      <c r="AB850" s="14"/>
      <c r="AC850" s="14"/>
      <c r="AD850" s="14"/>
      <c r="AE850" s="14"/>
      <c r="AF850" s="14"/>
      <c r="AG850" s="14"/>
      <c r="AH850" s="14"/>
    </row>
    <row r="851" spans="1:34" x14ac:dyDescent="0.25">
      <c r="A851" s="14"/>
      <c r="C851" s="10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  <c r="Z851" s="14"/>
      <c r="AA851" s="14"/>
      <c r="AB851" s="14"/>
      <c r="AC851" s="14"/>
      <c r="AD851" s="14"/>
      <c r="AE851" s="14"/>
      <c r="AF851" s="14"/>
      <c r="AG851" s="14"/>
      <c r="AH851" s="14"/>
    </row>
    <row r="852" spans="1:34" x14ac:dyDescent="0.25">
      <c r="A852" s="14"/>
      <c r="C852" s="10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  <c r="Z852" s="14"/>
      <c r="AA852" s="14"/>
      <c r="AB852" s="14"/>
      <c r="AC852" s="14"/>
      <c r="AD852" s="14"/>
      <c r="AE852" s="14"/>
      <c r="AF852" s="14"/>
      <c r="AG852" s="14"/>
      <c r="AH852" s="14"/>
    </row>
    <row r="853" spans="1:34" x14ac:dyDescent="0.25">
      <c r="A853" s="14"/>
      <c r="C853" s="10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  <c r="Z853" s="14"/>
      <c r="AA853" s="14"/>
      <c r="AB853" s="14"/>
      <c r="AC853" s="14"/>
      <c r="AD853" s="14"/>
      <c r="AE853" s="14"/>
      <c r="AF853" s="14"/>
      <c r="AG853" s="14"/>
      <c r="AH853" s="14"/>
    </row>
    <row r="854" spans="1:34" x14ac:dyDescent="0.25">
      <c r="A854" s="14"/>
      <c r="C854" s="10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  <c r="Z854" s="14"/>
      <c r="AA854" s="14"/>
      <c r="AB854" s="14"/>
      <c r="AC854" s="14"/>
      <c r="AD854" s="14"/>
      <c r="AE854" s="14"/>
      <c r="AF854" s="14"/>
      <c r="AG854" s="14"/>
      <c r="AH854" s="14"/>
    </row>
    <row r="855" spans="1:34" x14ac:dyDescent="0.25">
      <c r="A855" s="14"/>
      <c r="C855" s="10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  <c r="Z855" s="14"/>
      <c r="AA855" s="14"/>
      <c r="AB855" s="14"/>
      <c r="AC855" s="14"/>
      <c r="AD855" s="14"/>
      <c r="AE855" s="14"/>
      <c r="AF855" s="14"/>
      <c r="AG855" s="14"/>
      <c r="AH855" s="14"/>
    </row>
    <row r="856" spans="1:34" x14ac:dyDescent="0.25">
      <c r="A856" s="14"/>
      <c r="C856" s="10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  <c r="Z856" s="14"/>
      <c r="AA856" s="14"/>
      <c r="AB856" s="14"/>
      <c r="AC856" s="14"/>
      <c r="AD856" s="14"/>
      <c r="AE856" s="14"/>
      <c r="AF856" s="14"/>
      <c r="AG856" s="14"/>
      <c r="AH856" s="14"/>
    </row>
    <row r="857" spans="1:34" x14ac:dyDescent="0.25">
      <c r="A857" s="14"/>
      <c r="C857" s="10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  <c r="Z857" s="14"/>
      <c r="AA857" s="14"/>
      <c r="AB857" s="14"/>
      <c r="AC857" s="14"/>
      <c r="AD857" s="14"/>
      <c r="AE857" s="14"/>
      <c r="AF857" s="14"/>
      <c r="AG857" s="14"/>
      <c r="AH857" s="14"/>
    </row>
    <row r="858" spans="1:34" x14ac:dyDescent="0.25">
      <c r="A858" s="14"/>
      <c r="C858" s="10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  <c r="Z858" s="14"/>
      <c r="AA858" s="14"/>
      <c r="AB858" s="14"/>
      <c r="AC858" s="14"/>
      <c r="AD858" s="14"/>
      <c r="AE858" s="14"/>
      <c r="AF858" s="14"/>
      <c r="AG858" s="14"/>
      <c r="AH858" s="14"/>
    </row>
    <row r="859" spans="1:34" x14ac:dyDescent="0.25">
      <c r="A859" s="14"/>
      <c r="C859" s="10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  <c r="Z859" s="14"/>
      <c r="AA859" s="14"/>
      <c r="AB859" s="14"/>
      <c r="AC859" s="14"/>
      <c r="AD859" s="14"/>
      <c r="AE859" s="14"/>
      <c r="AF859" s="14"/>
      <c r="AG859" s="14"/>
      <c r="AH859" s="14"/>
    </row>
    <row r="860" spans="1:34" x14ac:dyDescent="0.25">
      <c r="A860" s="14"/>
      <c r="C860" s="10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  <c r="Z860" s="14"/>
      <c r="AA860" s="14"/>
      <c r="AB860" s="14"/>
      <c r="AC860" s="14"/>
      <c r="AD860" s="14"/>
      <c r="AE860" s="14"/>
      <c r="AF860" s="14"/>
      <c r="AG860" s="14"/>
      <c r="AH860" s="14"/>
    </row>
    <row r="861" spans="1:34" x14ac:dyDescent="0.25">
      <c r="A861" s="14"/>
      <c r="C861" s="10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  <c r="Z861" s="14"/>
      <c r="AA861" s="14"/>
      <c r="AB861" s="14"/>
      <c r="AC861" s="14"/>
      <c r="AD861" s="14"/>
      <c r="AE861" s="14"/>
      <c r="AF861" s="14"/>
      <c r="AG861" s="14"/>
      <c r="AH861" s="14"/>
    </row>
    <row r="862" spans="1:34" x14ac:dyDescent="0.25">
      <c r="A862" s="14"/>
      <c r="C862" s="10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  <c r="Z862" s="14"/>
      <c r="AA862" s="14"/>
      <c r="AB862" s="14"/>
      <c r="AC862" s="14"/>
      <c r="AD862" s="14"/>
      <c r="AE862" s="14"/>
      <c r="AF862" s="14"/>
      <c r="AG862" s="14"/>
      <c r="AH862" s="14"/>
    </row>
    <row r="863" spans="1:34" x14ac:dyDescent="0.25">
      <c r="A863" s="14"/>
      <c r="C863" s="10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  <c r="Z863" s="14"/>
      <c r="AA863" s="14"/>
      <c r="AB863" s="14"/>
      <c r="AC863" s="14"/>
      <c r="AD863" s="14"/>
      <c r="AE863" s="14"/>
      <c r="AF863" s="14"/>
      <c r="AG863" s="14"/>
      <c r="AH863" s="14"/>
    </row>
    <row r="864" spans="1:34" x14ac:dyDescent="0.25">
      <c r="A864" s="14"/>
      <c r="C864" s="10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  <c r="Z864" s="14"/>
      <c r="AA864" s="14"/>
      <c r="AB864" s="14"/>
      <c r="AC864" s="14"/>
      <c r="AD864" s="14"/>
      <c r="AE864" s="14"/>
      <c r="AF864" s="14"/>
      <c r="AG864" s="14"/>
      <c r="AH864" s="14"/>
    </row>
    <row r="865" spans="1:3" x14ac:dyDescent="0.25">
      <c r="A865" s="14"/>
      <c r="C865" s="10"/>
    </row>
    <row r="866" spans="1:3" x14ac:dyDescent="0.25">
      <c r="A866" s="14"/>
      <c r="C866" s="10"/>
    </row>
    <row r="867" spans="1:3" x14ac:dyDescent="0.25">
      <c r="A867" s="14"/>
      <c r="C867" s="10"/>
    </row>
    <row r="868" spans="1:3" x14ac:dyDescent="0.25">
      <c r="A868" s="14"/>
      <c r="C868" s="10"/>
    </row>
    <row r="869" spans="1:3" x14ac:dyDescent="0.25">
      <c r="A869" s="14"/>
      <c r="C869" s="10"/>
    </row>
    <row r="870" spans="1:3" x14ac:dyDescent="0.25">
      <c r="A870" s="14"/>
      <c r="C870" s="10"/>
    </row>
    <row r="871" spans="1:3" x14ac:dyDescent="0.25">
      <c r="A871" s="14"/>
      <c r="C871" s="10"/>
    </row>
    <row r="872" spans="1:3" x14ac:dyDescent="0.25">
      <c r="A872" s="14"/>
      <c r="C872" s="10"/>
    </row>
    <row r="873" spans="1:3" x14ac:dyDescent="0.25">
      <c r="A873" s="14"/>
      <c r="C873" s="10"/>
    </row>
    <row r="874" spans="1:3" x14ac:dyDescent="0.25">
      <c r="A874" s="14"/>
      <c r="C874" s="10"/>
    </row>
    <row r="875" spans="1:3" x14ac:dyDescent="0.25">
      <c r="A875" s="14"/>
      <c r="C875" s="10"/>
    </row>
    <row r="876" spans="1:3" x14ac:dyDescent="0.25">
      <c r="A876" s="14"/>
      <c r="C876" s="10"/>
    </row>
    <row r="877" spans="1:3" x14ac:dyDescent="0.25">
      <c r="A877" s="14"/>
      <c r="C877" s="10"/>
    </row>
    <row r="878" spans="1:3" x14ac:dyDescent="0.25">
      <c r="A878" s="14"/>
      <c r="C878" s="10"/>
    </row>
    <row r="879" spans="1:3" x14ac:dyDescent="0.25">
      <c r="A879" s="14"/>
      <c r="C879" s="10"/>
    </row>
    <row r="880" spans="1:3" x14ac:dyDescent="0.25">
      <c r="A880" s="14"/>
      <c r="C880" s="10"/>
    </row>
    <row r="881" spans="1:3" x14ac:dyDescent="0.25">
      <c r="A881" s="14"/>
      <c r="C881" s="10"/>
    </row>
    <row r="882" spans="1:3" x14ac:dyDescent="0.25">
      <c r="A882" s="14"/>
      <c r="C882" s="10"/>
    </row>
    <row r="883" spans="1:3" x14ac:dyDescent="0.25">
      <c r="A883" s="14"/>
      <c r="C883" s="10"/>
    </row>
    <row r="884" spans="1:3" x14ac:dyDescent="0.25">
      <c r="A884" s="14"/>
      <c r="C884" s="10"/>
    </row>
    <row r="885" spans="1:3" x14ac:dyDescent="0.25">
      <c r="A885" s="14"/>
      <c r="C885" s="10"/>
    </row>
    <row r="886" spans="1:3" x14ac:dyDescent="0.25">
      <c r="A886" s="14"/>
      <c r="C886" s="10"/>
    </row>
    <row r="887" spans="1:3" x14ac:dyDescent="0.25">
      <c r="A887" s="14"/>
    </row>
    <row r="888" spans="1:3" x14ac:dyDescent="0.25">
      <c r="A888" s="14"/>
    </row>
    <row r="889" spans="1:3" x14ac:dyDescent="0.25">
      <c r="A889" s="14"/>
    </row>
    <row r="890" spans="1:3" x14ac:dyDescent="0.25">
      <c r="A890" s="14"/>
    </row>
    <row r="891" spans="1:3" x14ac:dyDescent="0.25">
      <c r="A891" s="14"/>
    </row>
    <row r="892" spans="1:3" x14ac:dyDescent="0.25">
      <c r="A892" s="14"/>
    </row>
    <row r="893" spans="1:3" x14ac:dyDescent="0.25">
      <c r="A893" s="14"/>
    </row>
    <row r="894" spans="1:3" x14ac:dyDescent="0.25">
      <c r="A894" s="14"/>
    </row>
    <row r="895" spans="1:3" x14ac:dyDescent="0.25">
      <c r="A895" s="14"/>
    </row>
    <row r="896" spans="1:3" x14ac:dyDescent="0.25">
      <c r="A896" s="14"/>
    </row>
    <row r="897" spans="1:1" x14ac:dyDescent="0.25">
      <c r="A897" s="14"/>
    </row>
    <row r="898" spans="1:1" x14ac:dyDescent="0.25">
      <c r="A898" s="14"/>
    </row>
    <row r="899" spans="1:1" x14ac:dyDescent="0.25">
      <c r="A899" s="14"/>
    </row>
    <row r="900" spans="1:1" x14ac:dyDescent="0.25">
      <c r="A900" s="14"/>
    </row>
    <row r="901" spans="1:1" x14ac:dyDescent="0.25">
      <c r="A901" s="14"/>
    </row>
    <row r="902" spans="1:1" x14ac:dyDescent="0.25">
      <c r="A902" s="14"/>
    </row>
    <row r="903" spans="1:1" x14ac:dyDescent="0.25">
      <c r="A903" s="14"/>
    </row>
    <row r="904" spans="1:1" x14ac:dyDescent="0.25">
      <c r="A904" s="14"/>
    </row>
    <row r="905" spans="1:1" x14ac:dyDescent="0.25">
      <c r="A905" s="14"/>
    </row>
    <row r="906" spans="1:1" x14ac:dyDescent="0.25">
      <c r="A906" s="14"/>
    </row>
    <row r="907" spans="1:1" x14ac:dyDescent="0.25">
      <c r="A907" s="14"/>
    </row>
    <row r="908" spans="1:1" x14ac:dyDescent="0.25">
      <c r="A908" s="14"/>
    </row>
    <row r="909" spans="1:1" x14ac:dyDescent="0.25">
      <c r="A909" s="14"/>
    </row>
    <row r="910" spans="1:1" x14ac:dyDescent="0.25">
      <c r="A910" s="14"/>
    </row>
    <row r="911" spans="1:1" x14ac:dyDescent="0.25">
      <c r="A911" s="14"/>
    </row>
    <row r="912" spans="1:1" x14ac:dyDescent="0.25">
      <c r="A912" s="14"/>
    </row>
    <row r="913" spans="1:1" x14ac:dyDescent="0.25">
      <c r="A913" s="14"/>
    </row>
    <row r="914" spans="1:1" x14ac:dyDescent="0.25">
      <c r="A914" s="14"/>
    </row>
    <row r="915" spans="1:1" x14ac:dyDescent="0.25">
      <c r="A915" s="14"/>
    </row>
    <row r="916" spans="1:1" x14ac:dyDescent="0.25">
      <c r="A916" s="14"/>
    </row>
    <row r="917" spans="1:1" x14ac:dyDescent="0.25">
      <c r="A917" s="14"/>
    </row>
    <row r="918" spans="1:1" x14ac:dyDescent="0.25">
      <c r="A918" s="14"/>
    </row>
    <row r="919" spans="1:1" x14ac:dyDescent="0.25">
      <c r="A919" s="14"/>
    </row>
    <row r="920" spans="1:1" x14ac:dyDescent="0.25">
      <c r="A920" s="14"/>
    </row>
    <row r="921" spans="1:1" x14ac:dyDescent="0.25">
      <c r="A921" s="14"/>
    </row>
    <row r="922" spans="1:1" x14ac:dyDescent="0.25">
      <c r="A922" s="14"/>
    </row>
    <row r="923" spans="1:1" x14ac:dyDescent="0.25">
      <c r="A923" s="14"/>
    </row>
    <row r="924" spans="1:1" x14ac:dyDescent="0.25">
      <c r="A924" s="14"/>
    </row>
    <row r="925" spans="1:1" x14ac:dyDescent="0.25">
      <c r="A925" s="14"/>
    </row>
    <row r="926" spans="1:1" x14ac:dyDescent="0.25">
      <c r="A926" s="14"/>
    </row>
    <row r="927" spans="1:1" x14ac:dyDescent="0.25">
      <c r="A927" s="14"/>
    </row>
    <row r="928" spans="1:1" x14ac:dyDescent="0.25">
      <c r="A928" s="14"/>
    </row>
    <row r="929" spans="1:1" x14ac:dyDescent="0.25">
      <c r="A929" s="14"/>
    </row>
    <row r="930" spans="1:1" x14ac:dyDescent="0.25">
      <c r="A930" s="14"/>
    </row>
    <row r="931" spans="1:1" x14ac:dyDescent="0.25">
      <c r="A931" s="14"/>
    </row>
    <row r="932" spans="1:1" x14ac:dyDescent="0.25">
      <c r="A932" s="14"/>
    </row>
    <row r="933" spans="1:1" x14ac:dyDescent="0.25">
      <c r="A933" s="14"/>
    </row>
    <row r="934" spans="1:1" x14ac:dyDescent="0.25">
      <c r="A934" s="14"/>
    </row>
    <row r="935" spans="1:1" x14ac:dyDescent="0.25">
      <c r="A935" s="14"/>
    </row>
    <row r="936" spans="1:1" x14ac:dyDescent="0.25">
      <c r="A936" s="14"/>
    </row>
    <row r="937" spans="1:1" x14ac:dyDescent="0.25">
      <c r="A937" s="14"/>
    </row>
    <row r="938" spans="1:1" x14ac:dyDescent="0.25">
      <c r="A938" s="14"/>
    </row>
    <row r="939" spans="1:1" x14ac:dyDescent="0.25">
      <c r="A939" s="14"/>
    </row>
    <row r="940" spans="1:1" x14ac:dyDescent="0.25">
      <c r="A940" s="14"/>
    </row>
    <row r="941" spans="1:1" x14ac:dyDescent="0.25">
      <c r="A941" s="14"/>
    </row>
    <row r="942" spans="1:1" x14ac:dyDescent="0.25">
      <c r="A942" s="14"/>
    </row>
    <row r="943" spans="1:1" x14ac:dyDescent="0.25">
      <c r="A943" s="14"/>
    </row>
    <row r="944" spans="1:1" x14ac:dyDescent="0.25">
      <c r="A944" s="14"/>
    </row>
    <row r="945" spans="1:1" x14ac:dyDescent="0.25">
      <c r="A945" s="14"/>
    </row>
    <row r="946" spans="1:1" x14ac:dyDescent="0.25">
      <c r="A946" s="14"/>
    </row>
    <row r="947" spans="1:1" x14ac:dyDescent="0.25">
      <c r="A947" s="14"/>
    </row>
    <row r="948" spans="1:1" x14ac:dyDescent="0.25">
      <c r="A948" s="14"/>
    </row>
    <row r="949" spans="1:1" x14ac:dyDescent="0.25">
      <c r="A949" s="14"/>
    </row>
    <row r="950" spans="1:1" x14ac:dyDescent="0.25">
      <c r="A950" s="14"/>
    </row>
    <row r="951" spans="1:1" x14ac:dyDescent="0.25">
      <c r="A951" s="14"/>
    </row>
    <row r="952" spans="1:1" x14ac:dyDescent="0.25">
      <c r="A952" s="14"/>
    </row>
    <row r="953" spans="1:1" x14ac:dyDescent="0.25">
      <c r="A953" s="14"/>
    </row>
    <row r="954" spans="1:1" x14ac:dyDescent="0.25">
      <c r="A954" s="14"/>
    </row>
    <row r="955" spans="1:1" x14ac:dyDescent="0.25">
      <c r="A955" s="14"/>
    </row>
    <row r="956" spans="1:1" x14ac:dyDescent="0.25">
      <c r="A956" s="14"/>
    </row>
    <row r="957" spans="1:1" x14ac:dyDescent="0.25">
      <c r="A957" s="14"/>
    </row>
    <row r="958" spans="1:1" x14ac:dyDescent="0.25">
      <c r="A958" s="14"/>
    </row>
    <row r="959" spans="1:1" x14ac:dyDescent="0.25">
      <c r="A959" s="14"/>
    </row>
    <row r="960" spans="1:1" x14ac:dyDescent="0.25">
      <c r="A960" s="14"/>
    </row>
    <row r="961" spans="1:1" x14ac:dyDescent="0.25">
      <c r="A961" s="14"/>
    </row>
    <row r="962" spans="1:1" x14ac:dyDescent="0.25">
      <c r="A962" s="14"/>
    </row>
    <row r="963" spans="1:1" x14ac:dyDescent="0.25">
      <c r="A963" s="14"/>
    </row>
    <row r="964" spans="1:1" x14ac:dyDescent="0.25">
      <c r="A964" s="14"/>
    </row>
    <row r="965" spans="1:1" x14ac:dyDescent="0.25">
      <c r="A965" s="14"/>
    </row>
    <row r="966" spans="1:1" x14ac:dyDescent="0.25">
      <c r="A966" s="14"/>
    </row>
    <row r="967" spans="1:1" x14ac:dyDescent="0.25">
      <c r="A967" s="14"/>
    </row>
    <row r="968" spans="1:1" x14ac:dyDescent="0.25">
      <c r="A968" s="14"/>
    </row>
    <row r="969" spans="1:1" x14ac:dyDescent="0.25">
      <c r="A969" s="14"/>
    </row>
    <row r="970" spans="1:1" x14ac:dyDescent="0.25">
      <c r="A970" s="14"/>
    </row>
    <row r="971" spans="1:1" x14ac:dyDescent="0.25">
      <c r="A971" s="14"/>
    </row>
    <row r="972" spans="1:1" x14ac:dyDescent="0.25">
      <c r="A972" s="14"/>
    </row>
    <row r="973" spans="1:1" x14ac:dyDescent="0.25">
      <c r="A973" s="14"/>
    </row>
    <row r="974" spans="1:1" x14ac:dyDescent="0.25">
      <c r="A974" s="14"/>
    </row>
    <row r="975" spans="1:1" x14ac:dyDescent="0.25">
      <c r="A975" s="14"/>
    </row>
    <row r="976" spans="1:1" x14ac:dyDescent="0.25">
      <c r="A976" s="14"/>
    </row>
    <row r="977" spans="1:1" x14ac:dyDescent="0.25">
      <c r="A977" s="14"/>
    </row>
    <row r="978" spans="1:1" x14ac:dyDescent="0.25">
      <c r="A978" s="14"/>
    </row>
    <row r="979" spans="1:1" x14ac:dyDescent="0.25">
      <c r="A979" s="14"/>
    </row>
    <row r="980" spans="1:1" x14ac:dyDescent="0.25">
      <c r="A980" s="14"/>
    </row>
    <row r="981" spans="1:1" x14ac:dyDescent="0.25">
      <c r="A981" s="14"/>
    </row>
    <row r="982" spans="1:1" x14ac:dyDescent="0.25">
      <c r="A982" s="14"/>
    </row>
    <row r="983" spans="1:1" x14ac:dyDescent="0.25">
      <c r="A983" s="14"/>
    </row>
    <row r="984" spans="1:1" x14ac:dyDescent="0.25">
      <c r="A984" s="14"/>
    </row>
    <row r="985" spans="1:1" x14ac:dyDescent="0.25">
      <c r="A985" s="14"/>
    </row>
    <row r="986" spans="1:1" x14ac:dyDescent="0.25">
      <c r="A986" s="14"/>
    </row>
    <row r="987" spans="1:1" x14ac:dyDescent="0.25">
      <c r="A987" s="14"/>
    </row>
    <row r="988" spans="1:1" x14ac:dyDescent="0.25">
      <c r="A988" s="14"/>
    </row>
    <row r="989" spans="1:1" x14ac:dyDescent="0.25">
      <c r="A989" s="14"/>
    </row>
    <row r="990" spans="1:1" x14ac:dyDescent="0.25">
      <c r="A990" s="14"/>
    </row>
    <row r="991" spans="1:1" x14ac:dyDescent="0.25">
      <c r="A991" s="14"/>
    </row>
    <row r="992" spans="1:1" x14ac:dyDescent="0.25">
      <c r="A992" s="14"/>
    </row>
    <row r="993" spans="1:1" x14ac:dyDescent="0.25">
      <c r="A993" s="14"/>
    </row>
    <row r="994" spans="1:1" x14ac:dyDescent="0.25">
      <c r="A994" s="14"/>
    </row>
    <row r="995" spans="1:1" x14ac:dyDescent="0.25">
      <c r="A995" s="14"/>
    </row>
    <row r="996" spans="1:1" x14ac:dyDescent="0.25">
      <c r="A996" s="14"/>
    </row>
    <row r="997" spans="1:1" x14ac:dyDescent="0.25">
      <c r="A997" s="14"/>
    </row>
    <row r="998" spans="1:1" x14ac:dyDescent="0.25">
      <c r="A998" s="14"/>
    </row>
    <row r="999" spans="1:1" x14ac:dyDescent="0.25">
      <c r="A999" s="14"/>
    </row>
    <row r="1000" spans="1:1" x14ac:dyDescent="0.25">
      <c r="A1000" s="14"/>
    </row>
    <row r="1001" spans="1:1" x14ac:dyDescent="0.25">
      <c r="A1001" s="14"/>
    </row>
    <row r="1002" spans="1:1" x14ac:dyDescent="0.25">
      <c r="A1002" s="14"/>
    </row>
    <row r="1003" spans="1:1" x14ac:dyDescent="0.25">
      <c r="A1003" s="14"/>
    </row>
    <row r="1004" spans="1:1" x14ac:dyDescent="0.25">
      <c r="A1004" s="14"/>
    </row>
    <row r="1005" spans="1:1" x14ac:dyDescent="0.25">
      <c r="A1005" s="14"/>
    </row>
    <row r="1006" spans="1:1" x14ac:dyDescent="0.25">
      <c r="A1006" s="14"/>
    </row>
    <row r="1007" spans="1:1" x14ac:dyDescent="0.25">
      <c r="A1007" s="14"/>
    </row>
    <row r="1008" spans="1:1" x14ac:dyDescent="0.25">
      <c r="A1008" s="14"/>
    </row>
    <row r="1009" spans="1:1" x14ac:dyDescent="0.25">
      <c r="A1009" s="14"/>
    </row>
    <row r="1010" spans="1:1" x14ac:dyDescent="0.25">
      <c r="A1010" s="14"/>
    </row>
    <row r="1011" spans="1:1" x14ac:dyDescent="0.25">
      <c r="A1011" s="14"/>
    </row>
    <row r="1012" spans="1:1" x14ac:dyDescent="0.25">
      <c r="A1012" s="14"/>
    </row>
    <row r="1013" spans="1:1" x14ac:dyDescent="0.25">
      <c r="A1013" s="14"/>
    </row>
    <row r="1014" spans="1:1" x14ac:dyDescent="0.25">
      <c r="A1014" s="14"/>
    </row>
    <row r="1015" spans="1:1" x14ac:dyDescent="0.25">
      <c r="A1015" s="14"/>
    </row>
    <row r="1016" spans="1:1" x14ac:dyDescent="0.25">
      <c r="A1016" s="14"/>
    </row>
    <row r="1017" spans="1:1" x14ac:dyDescent="0.25">
      <c r="A1017" s="14"/>
    </row>
    <row r="1018" spans="1:1" x14ac:dyDescent="0.25">
      <c r="A1018" s="14"/>
    </row>
    <row r="1019" spans="1:1" x14ac:dyDescent="0.25">
      <c r="A1019" s="14"/>
    </row>
    <row r="1020" spans="1:1" x14ac:dyDescent="0.25">
      <c r="A1020" s="14"/>
    </row>
    <row r="1021" spans="1:1" x14ac:dyDescent="0.25">
      <c r="A1021" s="14"/>
    </row>
    <row r="1022" spans="1:1" x14ac:dyDescent="0.25">
      <c r="A1022" s="14"/>
    </row>
    <row r="1023" spans="1:1" x14ac:dyDescent="0.25">
      <c r="A1023" s="14"/>
    </row>
    <row r="1024" spans="1:1" x14ac:dyDescent="0.25">
      <c r="A1024" s="14"/>
    </row>
    <row r="1025" spans="1:1" x14ac:dyDescent="0.25">
      <c r="A1025" s="14"/>
    </row>
    <row r="1026" spans="1:1" x14ac:dyDescent="0.25">
      <c r="A1026" s="14"/>
    </row>
    <row r="1027" spans="1:1" x14ac:dyDescent="0.25">
      <c r="A1027" s="14"/>
    </row>
    <row r="1028" spans="1:1" x14ac:dyDescent="0.25">
      <c r="A1028" s="14"/>
    </row>
    <row r="1029" spans="1:1" x14ac:dyDescent="0.25">
      <c r="A1029" s="14"/>
    </row>
    <row r="1030" spans="1:1" x14ac:dyDescent="0.25">
      <c r="A1030" s="14"/>
    </row>
    <row r="1031" spans="1:1" x14ac:dyDescent="0.25">
      <c r="A1031" s="14"/>
    </row>
    <row r="1032" spans="1:1" x14ac:dyDescent="0.25">
      <c r="A1032" s="14"/>
    </row>
    <row r="1033" spans="1:1" x14ac:dyDescent="0.25">
      <c r="A1033" s="14"/>
    </row>
    <row r="1034" spans="1:1" x14ac:dyDescent="0.25">
      <c r="A1034" s="14"/>
    </row>
    <row r="1035" spans="1:1" x14ac:dyDescent="0.25">
      <c r="A1035" s="14"/>
    </row>
    <row r="1036" spans="1:1" x14ac:dyDescent="0.25">
      <c r="A1036" s="14"/>
    </row>
    <row r="1037" spans="1:1" x14ac:dyDescent="0.25">
      <c r="A1037" s="14"/>
    </row>
    <row r="1038" spans="1:1" x14ac:dyDescent="0.25">
      <c r="A1038" s="14"/>
    </row>
    <row r="1039" spans="1:1" x14ac:dyDescent="0.25">
      <c r="A1039" s="14"/>
    </row>
    <row r="1040" spans="1:1" x14ac:dyDescent="0.25">
      <c r="A1040" s="14"/>
    </row>
    <row r="1041" spans="1:1" x14ac:dyDescent="0.25">
      <c r="A1041" s="14"/>
    </row>
    <row r="1042" spans="1:1" x14ac:dyDescent="0.25">
      <c r="A1042" s="14"/>
    </row>
    <row r="1043" spans="1:1" x14ac:dyDescent="0.25">
      <c r="A1043" s="14"/>
    </row>
    <row r="1044" spans="1:1" x14ac:dyDescent="0.25">
      <c r="A1044" s="14"/>
    </row>
    <row r="1045" spans="1:1" x14ac:dyDescent="0.25">
      <c r="A1045" s="14"/>
    </row>
    <row r="1046" spans="1:1" x14ac:dyDescent="0.25">
      <c r="A1046" s="14"/>
    </row>
    <row r="1047" spans="1:1" x14ac:dyDescent="0.25">
      <c r="A1047" s="14"/>
    </row>
    <row r="1048" spans="1:1" x14ac:dyDescent="0.25">
      <c r="A1048" s="14"/>
    </row>
    <row r="1049" spans="1:1" x14ac:dyDescent="0.25">
      <c r="A1049" s="14"/>
    </row>
    <row r="1050" spans="1:1" x14ac:dyDescent="0.25">
      <c r="A1050" s="14"/>
    </row>
    <row r="1051" spans="1:1" x14ac:dyDescent="0.25">
      <c r="A1051" s="14"/>
    </row>
    <row r="1052" spans="1:1" x14ac:dyDescent="0.25">
      <c r="A1052" s="14"/>
    </row>
    <row r="1053" spans="1:1" x14ac:dyDescent="0.25">
      <c r="A1053" s="14"/>
    </row>
    <row r="1054" spans="1:1" x14ac:dyDescent="0.25">
      <c r="A1054" s="14"/>
    </row>
    <row r="1055" spans="1:1" x14ac:dyDescent="0.25">
      <c r="A1055" s="14"/>
    </row>
    <row r="1056" spans="1:1" x14ac:dyDescent="0.25">
      <c r="A1056" s="14"/>
    </row>
    <row r="1057" spans="1:1" x14ac:dyDescent="0.25">
      <c r="A1057" s="14"/>
    </row>
    <row r="1058" spans="1:1" x14ac:dyDescent="0.25">
      <c r="A1058" s="14"/>
    </row>
    <row r="1059" spans="1:1" x14ac:dyDescent="0.25">
      <c r="A1059" s="14"/>
    </row>
    <row r="1060" spans="1:1" x14ac:dyDescent="0.25">
      <c r="A1060" s="14"/>
    </row>
    <row r="1061" spans="1:1" x14ac:dyDescent="0.25">
      <c r="A1061" s="14"/>
    </row>
    <row r="1062" spans="1:1" x14ac:dyDescent="0.25">
      <c r="A1062" s="14"/>
    </row>
    <row r="1063" spans="1:1" x14ac:dyDescent="0.25">
      <c r="A1063" s="14"/>
    </row>
    <row r="1064" spans="1:1" x14ac:dyDescent="0.25">
      <c r="A1064" s="14"/>
    </row>
    <row r="1065" spans="1:1" x14ac:dyDescent="0.25">
      <c r="A1065" s="14"/>
    </row>
    <row r="1066" spans="1:1" x14ac:dyDescent="0.25">
      <c r="A1066" s="14"/>
    </row>
    <row r="1067" spans="1:1" x14ac:dyDescent="0.25">
      <c r="A1067" s="14"/>
    </row>
    <row r="1068" spans="1:1" x14ac:dyDescent="0.25">
      <c r="A1068" s="14"/>
    </row>
    <row r="1069" spans="1:1" x14ac:dyDescent="0.25">
      <c r="A1069" s="14"/>
    </row>
    <row r="1070" spans="1:1" x14ac:dyDescent="0.25">
      <c r="A1070" s="14"/>
    </row>
    <row r="1071" spans="1:1" x14ac:dyDescent="0.25">
      <c r="A1071" s="14"/>
    </row>
    <row r="1072" spans="1:1" x14ac:dyDescent="0.25">
      <c r="A1072" s="14"/>
    </row>
    <row r="1073" spans="1:1" x14ac:dyDescent="0.25">
      <c r="A1073" s="14"/>
    </row>
    <row r="1074" spans="1:1" x14ac:dyDescent="0.25">
      <c r="A1074" s="14"/>
    </row>
    <row r="1075" spans="1:1" x14ac:dyDescent="0.25">
      <c r="A1075" s="14"/>
    </row>
    <row r="1076" spans="1:1" x14ac:dyDescent="0.25">
      <c r="A1076" s="14"/>
    </row>
    <row r="1077" spans="1:1" x14ac:dyDescent="0.25">
      <c r="A1077" s="14"/>
    </row>
    <row r="1078" spans="1:1" x14ac:dyDescent="0.25">
      <c r="A1078" s="14"/>
    </row>
    <row r="1079" spans="1:1" x14ac:dyDescent="0.25">
      <c r="A1079" s="14"/>
    </row>
    <row r="1080" spans="1:1" x14ac:dyDescent="0.25">
      <c r="A1080" s="14"/>
    </row>
    <row r="1081" spans="1:1" x14ac:dyDescent="0.25">
      <c r="A1081" s="14"/>
    </row>
    <row r="1082" spans="1:1" x14ac:dyDescent="0.25">
      <c r="A1082" s="14"/>
    </row>
    <row r="1083" spans="1:1" x14ac:dyDescent="0.25">
      <c r="A1083" s="14"/>
    </row>
    <row r="1084" spans="1:1" x14ac:dyDescent="0.25">
      <c r="A1084" s="14"/>
    </row>
    <row r="1085" spans="1:1" x14ac:dyDescent="0.25">
      <c r="A1085" s="14"/>
    </row>
    <row r="1086" spans="1:1" x14ac:dyDescent="0.25">
      <c r="A1086" s="14"/>
    </row>
    <row r="1087" spans="1:1" x14ac:dyDescent="0.25">
      <c r="A1087" s="14"/>
    </row>
    <row r="1088" spans="1:1" x14ac:dyDescent="0.25">
      <c r="A1088" s="14"/>
    </row>
    <row r="1089" spans="1:1" x14ac:dyDescent="0.25">
      <c r="A1089" s="14"/>
    </row>
    <row r="1090" spans="1:1" x14ac:dyDescent="0.25">
      <c r="A1090" s="14"/>
    </row>
    <row r="1091" spans="1:1" x14ac:dyDescent="0.25">
      <c r="A1091" s="14"/>
    </row>
    <row r="1092" spans="1:1" x14ac:dyDescent="0.25">
      <c r="A1092" s="14"/>
    </row>
    <row r="1093" spans="1:1" x14ac:dyDescent="0.25">
      <c r="A1093" s="14"/>
    </row>
    <row r="1094" spans="1:1" x14ac:dyDescent="0.25">
      <c r="A1094" s="14"/>
    </row>
    <row r="1095" spans="1:1" x14ac:dyDescent="0.25">
      <c r="A1095" s="14"/>
    </row>
    <row r="1096" spans="1:1" x14ac:dyDescent="0.25">
      <c r="A1096" s="14"/>
    </row>
    <row r="1097" spans="1:1" x14ac:dyDescent="0.25">
      <c r="A1097" s="14"/>
    </row>
    <row r="1098" spans="1:1" x14ac:dyDescent="0.25">
      <c r="A1098" s="14"/>
    </row>
    <row r="1099" spans="1:1" x14ac:dyDescent="0.25">
      <c r="A1099" s="14"/>
    </row>
    <row r="1100" spans="1:1" x14ac:dyDescent="0.25">
      <c r="A1100" s="14"/>
    </row>
    <row r="1101" spans="1:1" x14ac:dyDescent="0.25">
      <c r="A1101" s="14"/>
    </row>
    <row r="1102" spans="1:1" x14ac:dyDescent="0.25">
      <c r="A1102" s="14"/>
    </row>
    <row r="1103" spans="1:1" x14ac:dyDescent="0.25">
      <c r="A1103" s="14"/>
    </row>
    <row r="1104" spans="1:1" x14ac:dyDescent="0.25">
      <c r="A1104" s="14"/>
    </row>
    <row r="1105" spans="1:1" x14ac:dyDescent="0.25">
      <c r="A1105" s="14"/>
    </row>
    <row r="1106" spans="1:1" x14ac:dyDescent="0.25">
      <c r="A1106" s="14"/>
    </row>
    <row r="1107" spans="1:1" x14ac:dyDescent="0.25">
      <c r="A1107" s="14"/>
    </row>
    <row r="1108" spans="1:1" x14ac:dyDescent="0.25">
      <c r="A1108" s="14"/>
    </row>
    <row r="1109" spans="1:1" x14ac:dyDescent="0.25">
      <c r="A1109" s="14"/>
    </row>
    <row r="1110" spans="1:1" x14ac:dyDescent="0.25">
      <c r="A1110" s="14"/>
    </row>
    <row r="1111" spans="1:1" x14ac:dyDescent="0.25">
      <c r="A1111" s="14"/>
    </row>
    <row r="1112" spans="1:1" x14ac:dyDescent="0.25">
      <c r="A1112" s="14"/>
    </row>
    <row r="1113" spans="1:1" x14ac:dyDescent="0.25">
      <c r="A1113" s="14"/>
    </row>
    <row r="1114" spans="1:1" x14ac:dyDescent="0.25">
      <c r="A1114" s="14"/>
    </row>
    <row r="1115" spans="1:1" x14ac:dyDescent="0.25">
      <c r="A1115" s="14"/>
    </row>
    <row r="1116" spans="1:1" x14ac:dyDescent="0.25">
      <c r="A1116" s="14"/>
    </row>
    <row r="1117" spans="1:1" x14ac:dyDescent="0.25">
      <c r="A1117" s="14"/>
    </row>
    <row r="1118" spans="1:1" x14ac:dyDescent="0.25">
      <c r="A1118" s="14"/>
    </row>
    <row r="1119" spans="1:1" x14ac:dyDescent="0.25">
      <c r="A1119" s="14"/>
    </row>
    <row r="1120" spans="1:1" x14ac:dyDescent="0.25">
      <c r="A1120" s="14"/>
    </row>
    <row r="1121" spans="1:1" x14ac:dyDescent="0.25">
      <c r="A1121" s="14"/>
    </row>
    <row r="1122" spans="1:1" x14ac:dyDescent="0.25">
      <c r="A1122" s="14"/>
    </row>
    <row r="1123" spans="1:1" x14ac:dyDescent="0.25">
      <c r="A1123" s="14"/>
    </row>
    <row r="1124" spans="1:1" x14ac:dyDescent="0.25">
      <c r="A1124" s="14"/>
    </row>
    <row r="1125" spans="1:1" x14ac:dyDescent="0.25">
      <c r="A1125" s="14"/>
    </row>
    <row r="1126" spans="1:1" x14ac:dyDescent="0.25">
      <c r="A1126" s="14"/>
    </row>
    <row r="1127" spans="1:1" x14ac:dyDescent="0.25">
      <c r="A1127" s="14"/>
    </row>
    <row r="1128" spans="1:1" x14ac:dyDescent="0.25">
      <c r="A1128" s="14"/>
    </row>
    <row r="1129" spans="1:1" x14ac:dyDescent="0.25">
      <c r="A1129" s="14"/>
    </row>
    <row r="1130" spans="1:1" x14ac:dyDescent="0.25">
      <c r="A1130" s="14"/>
    </row>
    <row r="1131" spans="1:1" x14ac:dyDescent="0.25">
      <c r="A1131" s="14"/>
    </row>
    <row r="1132" spans="1:1" x14ac:dyDescent="0.25">
      <c r="A1132" s="14"/>
    </row>
    <row r="1133" spans="1:1" x14ac:dyDescent="0.25">
      <c r="A1133" s="14"/>
    </row>
    <row r="1134" spans="1:1" x14ac:dyDescent="0.25">
      <c r="A1134" s="14"/>
    </row>
    <row r="1135" spans="1:1" x14ac:dyDescent="0.25">
      <c r="A1135" s="14"/>
    </row>
    <row r="1136" spans="1:1" x14ac:dyDescent="0.25">
      <c r="A1136" s="14"/>
    </row>
    <row r="1137" spans="1:1" x14ac:dyDescent="0.25">
      <c r="A1137" s="14"/>
    </row>
    <row r="1138" spans="1:1" x14ac:dyDescent="0.25">
      <c r="A1138" s="14"/>
    </row>
    <row r="1139" spans="1:1" x14ac:dyDescent="0.25">
      <c r="A1139" s="14"/>
    </row>
    <row r="1140" spans="1:1" x14ac:dyDescent="0.25">
      <c r="A1140" s="14"/>
    </row>
    <row r="1141" spans="1:1" x14ac:dyDescent="0.25">
      <c r="A1141" s="14"/>
    </row>
    <row r="1142" spans="1:1" x14ac:dyDescent="0.25">
      <c r="A1142" s="14"/>
    </row>
    <row r="1143" spans="1:1" x14ac:dyDescent="0.25">
      <c r="A1143" s="14"/>
    </row>
    <row r="1144" spans="1:1" x14ac:dyDescent="0.25">
      <c r="A1144" s="14"/>
    </row>
    <row r="1145" spans="1:1" x14ac:dyDescent="0.25">
      <c r="A1145" s="14"/>
    </row>
    <row r="1146" spans="1:1" x14ac:dyDescent="0.25">
      <c r="A1146" s="14"/>
    </row>
    <row r="1147" spans="1:1" x14ac:dyDescent="0.25">
      <c r="A1147" s="14"/>
    </row>
    <row r="1148" spans="1:1" x14ac:dyDescent="0.25">
      <c r="A1148" s="14"/>
    </row>
    <row r="1149" spans="1:1" x14ac:dyDescent="0.25">
      <c r="A1149" s="14"/>
    </row>
    <row r="1150" spans="1:1" x14ac:dyDescent="0.25">
      <c r="A1150" s="14"/>
    </row>
    <row r="1151" spans="1:1" x14ac:dyDescent="0.25">
      <c r="A1151" s="14"/>
    </row>
    <row r="1152" spans="1:1" x14ac:dyDescent="0.25">
      <c r="A1152" s="14"/>
    </row>
    <row r="1153" spans="1:1" x14ac:dyDescent="0.25">
      <c r="A1153" s="14"/>
    </row>
    <row r="1154" spans="1:1" x14ac:dyDescent="0.25">
      <c r="A1154" s="14"/>
    </row>
    <row r="1155" spans="1:1" x14ac:dyDescent="0.25">
      <c r="A1155" s="14"/>
    </row>
    <row r="1156" spans="1:1" x14ac:dyDescent="0.25">
      <c r="A1156" s="14"/>
    </row>
    <row r="1157" spans="1:1" x14ac:dyDescent="0.25">
      <c r="A1157" s="14"/>
    </row>
    <row r="1158" spans="1:1" x14ac:dyDescent="0.25">
      <c r="A1158" s="14"/>
    </row>
    <row r="1159" spans="1:1" x14ac:dyDescent="0.25">
      <c r="A1159" s="14"/>
    </row>
    <row r="1160" spans="1:1" x14ac:dyDescent="0.25">
      <c r="A1160" s="14"/>
    </row>
    <row r="1161" spans="1:1" x14ac:dyDescent="0.25">
      <c r="A1161" s="14"/>
    </row>
    <row r="1162" spans="1:1" x14ac:dyDescent="0.25">
      <c r="A1162" s="14"/>
    </row>
    <row r="1163" spans="1:1" x14ac:dyDescent="0.25">
      <c r="A1163" s="14"/>
    </row>
    <row r="1164" spans="1:1" x14ac:dyDescent="0.25">
      <c r="A1164" s="14"/>
    </row>
    <row r="1165" spans="1:1" x14ac:dyDescent="0.25">
      <c r="A1165" s="14"/>
    </row>
    <row r="1166" spans="1:1" x14ac:dyDescent="0.25">
      <c r="A1166" s="14"/>
    </row>
    <row r="1167" spans="1:1" x14ac:dyDescent="0.25">
      <c r="A1167" s="14"/>
    </row>
    <row r="1168" spans="1:1" x14ac:dyDescent="0.25">
      <c r="A1168" s="14"/>
    </row>
    <row r="1169" spans="1:1" x14ac:dyDescent="0.25">
      <c r="A1169" s="14"/>
    </row>
    <row r="1170" spans="1:1" x14ac:dyDescent="0.25">
      <c r="A1170" s="14"/>
    </row>
    <row r="1171" spans="1:1" x14ac:dyDescent="0.25">
      <c r="A1171" s="14"/>
    </row>
    <row r="1172" spans="1:1" x14ac:dyDescent="0.25">
      <c r="A1172" s="14"/>
    </row>
    <row r="1173" spans="1:1" x14ac:dyDescent="0.25">
      <c r="A1173" s="14"/>
    </row>
    <row r="1174" spans="1:1" x14ac:dyDescent="0.25">
      <c r="A1174" s="14"/>
    </row>
    <row r="1175" spans="1:1" x14ac:dyDescent="0.25">
      <c r="A1175" s="14"/>
    </row>
    <row r="1176" spans="1:1" x14ac:dyDescent="0.25">
      <c r="A1176" s="14"/>
    </row>
    <row r="1177" spans="1:1" x14ac:dyDescent="0.25">
      <c r="A1177" s="14"/>
    </row>
    <row r="1178" spans="1:1" x14ac:dyDescent="0.25">
      <c r="A1178" s="14"/>
    </row>
    <row r="1179" spans="1:1" x14ac:dyDescent="0.25">
      <c r="A1179" s="14"/>
    </row>
    <row r="1180" spans="1:1" x14ac:dyDescent="0.25">
      <c r="A1180" s="14"/>
    </row>
    <row r="1181" spans="1:1" x14ac:dyDescent="0.25">
      <c r="A1181" s="14"/>
    </row>
    <row r="1182" spans="1:1" x14ac:dyDescent="0.25">
      <c r="A1182" s="14"/>
    </row>
    <row r="1183" spans="1:1" x14ac:dyDescent="0.25">
      <c r="A1183" s="14"/>
    </row>
    <row r="1184" spans="1:1" x14ac:dyDescent="0.25">
      <c r="A1184" s="14"/>
    </row>
    <row r="1185" spans="1:1" x14ac:dyDescent="0.25">
      <c r="A1185" s="14"/>
    </row>
    <row r="1186" spans="1:1" x14ac:dyDescent="0.25">
      <c r="A1186" s="14"/>
    </row>
    <row r="1187" spans="1:1" x14ac:dyDescent="0.25">
      <c r="A1187" s="14"/>
    </row>
    <row r="1188" spans="1:1" x14ac:dyDescent="0.25">
      <c r="A1188" s="14"/>
    </row>
    <row r="1189" spans="1:1" x14ac:dyDescent="0.25">
      <c r="A1189" s="14"/>
    </row>
    <row r="1190" spans="1:1" x14ac:dyDescent="0.25">
      <c r="A1190" s="14"/>
    </row>
    <row r="1191" spans="1:1" x14ac:dyDescent="0.25">
      <c r="A1191" s="14"/>
    </row>
    <row r="1192" spans="1:1" x14ac:dyDescent="0.25">
      <c r="A1192" s="14"/>
    </row>
    <row r="1193" spans="1:1" x14ac:dyDescent="0.25">
      <c r="A1193" s="14"/>
    </row>
    <row r="1194" spans="1:1" x14ac:dyDescent="0.25">
      <c r="A1194" s="14"/>
    </row>
    <row r="1195" spans="1:1" x14ac:dyDescent="0.25">
      <c r="A1195" s="14"/>
    </row>
    <row r="1196" spans="1:1" x14ac:dyDescent="0.25">
      <c r="A1196" s="14"/>
    </row>
    <row r="1197" spans="1:1" x14ac:dyDescent="0.25">
      <c r="A1197" s="14"/>
    </row>
    <row r="1198" spans="1:1" x14ac:dyDescent="0.25">
      <c r="A1198" s="14"/>
    </row>
    <row r="1199" spans="1:1" x14ac:dyDescent="0.25">
      <c r="A1199" s="14"/>
    </row>
    <row r="1200" spans="1:1" x14ac:dyDescent="0.25">
      <c r="A1200" s="14"/>
    </row>
    <row r="1201" spans="1:1" x14ac:dyDescent="0.25">
      <c r="A1201" s="14"/>
    </row>
    <row r="1202" spans="1:1" x14ac:dyDescent="0.25">
      <c r="A1202" s="14"/>
    </row>
    <row r="1203" spans="1:1" x14ac:dyDescent="0.25">
      <c r="A1203" s="14"/>
    </row>
    <row r="1204" spans="1:1" x14ac:dyDescent="0.25">
      <c r="A1204" s="14"/>
    </row>
    <row r="1205" spans="1:1" x14ac:dyDescent="0.25">
      <c r="A1205" s="14"/>
    </row>
    <row r="1206" spans="1:1" x14ac:dyDescent="0.25">
      <c r="A1206" s="14"/>
    </row>
    <row r="1207" spans="1:1" x14ac:dyDescent="0.25">
      <c r="A1207" s="14"/>
    </row>
    <row r="1208" spans="1:1" x14ac:dyDescent="0.25">
      <c r="A1208" s="14"/>
    </row>
    <row r="1209" spans="1:1" x14ac:dyDescent="0.25">
      <c r="A1209" s="14"/>
    </row>
    <row r="1210" spans="1:1" x14ac:dyDescent="0.25">
      <c r="A1210" s="14"/>
    </row>
    <row r="1211" spans="1:1" x14ac:dyDescent="0.25">
      <c r="A1211" s="14"/>
    </row>
    <row r="1212" spans="1:1" x14ac:dyDescent="0.25">
      <c r="A1212" s="14"/>
    </row>
    <row r="1213" spans="1:1" x14ac:dyDescent="0.25">
      <c r="A1213" s="14"/>
    </row>
    <row r="1214" spans="1:1" x14ac:dyDescent="0.25">
      <c r="A1214" s="14"/>
    </row>
    <row r="1215" spans="1:1" x14ac:dyDescent="0.25">
      <c r="A1215" s="14"/>
    </row>
    <row r="1216" spans="1:1" x14ac:dyDescent="0.25">
      <c r="A1216" s="14"/>
    </row>
    <row r="1217" spans="1:1" x14ac:dyDescent="0.25">
      <c r="A1217" s="14"/>
    </row>
    <row r="1218" spans="1:1" x14ac:dyDescent="0.25">
      <c r="A1218" s="14"/>
    </row>
    <row r="1219" spans="1:1" x14ac:dyDescent="0.25">
      <c r="A1219" s="14"/>
    </row>
    <row r="1220" spans="1:1" x14ac:dyDescent="0.25">
      <c r="A1220" s="14"/>
    </row>
    <row r="1221" spans="1:1" x14ac:dyDescent="0.25">
      <c r="A1221" s="14"/>
    </row>
    <row r="1222" spans="1:1" x14ac:dyDescent="0.25">
      <c r="A1222" s="14"/>
    </row>
    <row r="1223" spans="1:1" x14ac:dyDescent="0.25">
      <c r="A1223" s="14"/>
    </row>
    <row r="1224" spans="1:1" x14ac:dyDescent="0.25">
      <c r="A1224" s="14"/>
    </row>
    <row r="1225" spans="1:1" x14ac:dyDescent="0.25">
      <c r="A1225" s="14"/>
    </row>
    <row r="1226" spans="1:1" x14ac:dyDescent="0.25">
      <c r="A1226" s="14"/>
    </row>
    <row r="1227" spans="1:1" x14ac:dyDescent="0.25">
      <c r="A1227" s="14"/>
    </row>
    <row r="1228" spans="1:1" x14ac:dyDescent="0.25">
      <c r="A1228" s="14"/>
    </row>
    <row r="1229" spans="1:1" x14ac:dyDescent="0.25">
      <c r="A1229" s="14"/>
    </row>
    <row r="1230" spans="1:1" x14ac:dyDescent="0.25">
      <c r="A1230" s="14"/>
    </row>
    <row r="1231" spans="1:1" x14ac:dyDescent="0.25">
      <c r="A1231" s="14"/>
    </row>
    <row r="1232" spans="1:1" x14ac:dyDescent="0.25">
      <c r="A1232" s="14"/>
    </row>
    <row r="1233" spans="1:1" x14ac:dyDescent="0.25">
      <c r="A1233" s="14"/>
    </row>
    <row r="1234" spans="1:1" x14ac:dyDescent="0.25">
      <c r="A1234" s="14"/>
    </row>
    <row r="1235" spans="1:1" x14ac:dyDescent="0.25">
      <c r="A1235" s="14"/>
    </row>
    <row r="1236" spans="1:1" x14ac:dyDescent="0.25">
      <c r="A1236" s="14"/>
    </row>
    <row r="1237" spans="1:1" x14ac:dyDescent="0.25">
      <c r="A1237" s="14"/>
    </row>
    <row r="1238" spans="1:1" x14ac:dyDescent="0.25">
      <c r="A1238" s="14"/>
    </row>
    <row r="1239" spans="1:1" x14ac:dyDescent="0.25">
      <c r="A1239" s="14"/>
    </row>
    <row r="1240" spans="1:1" x14ac:dyDescent="0.25">
      <c r="A1240" s="14"/>
    </row>
    <row r="1241" spans="1:1" x14ac:dyDescent="0.25">
      <c r="A1241" s="14"/>
    </row>
    <row r="1242" spans="1:1" x14ac:dyDescent="0.25">
      <c r="A1242" s="14"/>
    </row>
    <row r="1243" spans="1:1" x14ac:dyDescent="0.25">
      <c r="A1243" s="14"/>
    </row>
    <row r="1244" spans="1:1" x14ac:dyDescent="0.25">
      <c r="A1244" s="14"/>
    </row>
    <row r="1245" spans="1:1" x14ac:dyDescent="0.25">
      <c r="A1245" s="14"/>
    </row>
    <row r="1246" spans="1:1" x14ac:dyDescent="0.25">
      <c r="A1246" s="14"/>
    </row>
    <row r="1247" spans="1:1" x14ac:dyDescent="0.25">
      <c r="A1247" s="14"/>
    </row>
    <row r="1248" spans="1:1" x14ac:dyDescent="0.25">
      <c r="A1248" s="14"/>
    </row>
    <row r="1249" spans="1:1" x14ac:dyDescent="0.25">
      <c r="A1249" s="14"/>
    </row>
    <row r="1250" spans="1:1" x14ac:dyDescent="0.25">
      <c r="A1250" s="14"/>
    </row>
    <row r="1251" spans="1:1" x14ac:dyDescent="0.25">
      <c r="A1251" s="14"/>
    </row>
    <row r="1252" spans="1:1" x14ac:dyDescent="0.25">
      <c r="A1252" s="14"/>
    </row>
    <row r="1253" spans="1:1" x14ac:dyDescent="0.25">
      <c r="A1253" s="14"/>
    </row>
    <row r="1254" spans="1:1" x14ac:dyDescent="0.25">
      <c r="A1254" s="14"/>
    </row>
    <row r="1255" spans="1:1" x14ac:dyDescent="0.25">
      <c r="A1255" s="14"/>
    </row>
    <row r="1256" spans="1:1" x14ac:dyDescent="0.25">
      <c r="A1256" s="14"/>
    </row>
    <row r="1257" spans="1:1" x14ac:dyDescent="0.25">
      <c r="A1257" s="14"/>
    </row>
    <row r="1258" spans="1:1" x14ac:dyDescent="0.25">
      <c r="A1258" s="14"/>
    </row>
    <row r="1259" spans="1:1" x14ac:dyDescent="0.25">
      <c r="A1259" s="14"/>
    </row>
    <row r="1260" spans="1:1" x14ac:dyDescent="0.25">
      <c r="A1260" s="14"/>
    </row>
    <row r="1261" spans="1:1" x14ac:dyDescent="0.25">
      <c r="A1261" s="14"/>
    </row>
    <row r="1262" spans="1:1" x14ac:dyDescent="0.25">
      <c r="A1262" s="14"/>
    </row>
    <row r="1263" spans="1:1" x14ac:dyDescent="0.25">
      <c r="A1263" s="14"/>
    </row>
    <row r="1264" spans="1:1" x14ac:dyDescent="0.25">
      <c r="A1264" s="14"/>
    </row>
    <row r="1265" spans="1:1" x14ac:dyDescent="0.25">
      <c r="A1265" s="14"/>
    </row>
    <row r="1266" spans="1:1" x14ac:dyDescent="0.25">
      <c r="A1266" s="14"/>
    </row>
    <row r="1267" spans="1:1" x14ac:dyDescent="0.25">
      <c r="A1267" s="14"/>
    </row>
    <row r="1268" spans="1:1" x14ac:dyDescent="0.25">
      <c r="A1268" s="14"/>
    </row>
    <row r="1269" spans="1:1" x14ac:dyDescent="0.25">
      <c r="A1269" s="14"/>
    </row>
    <row r="1270" spans="1:1" x14ac:dyDescent="0.25">
      <c r="A1270" s="14"/>
    </row>
    <row r="1271" spans="1:1" x14ac:dyDescent="0.25">
      <c r="A1271" s="14"/>
    </row>
    <row r="1272" spans="1:1" x14ac:dyDescent="0.25">
      <c r="A1272" s="14"/>
    </row>
    <row r="1273" spans="1:1" x14ac:dyDescent="0.25">
      <c r="A1273" s="14"/>
    </row>
    <row r="1274" spans="1:1" x14ac:dyDescent="0.25">
      <c r="A1274" s="14"/>
    </row>
    <row r="1275" spans="1:1" x14ac:dyDescent="0.25">
      <c r="A1275" s="14"/>
    </row>
    <row r="1276" spans="1:1" x14ac:dyDescent="0.25">
      <c r="A1276" s="14"/>
    </row>
    <row r="1277" spans="1:1" x14ac:dyDescent="0.25">
      <c r="A1277" s="14"/>
    </row>
    <row r="1278" spans="1:1" x14ac:dyDescent="0.25">
      <c r="A1278" s="14"/>
    </row>
    <row r="1279" spans="1:1" x14ac:dyDescent="0.25">
      <c r="A1279" s="14"/>
    </row>
    <row r="1280" spans="1:1" x14ac:dyDescent="0.25">
      <c r="A1280" s="14"/>
    </row>
    <row r="1281" spans="1:1" x14ac:dyDescent="0.25">
      <c r="A1281" s="14"/>
    </row>
    <row r="1282" spans="1:1" x14ac:dyDescent="0.25">
      <c r="A1282" s="14"/>
    </row>
    <row r="1283" spans="1:1" x14ac:dyDescent="0.25">
      <c r="A1283" s="14"/>
    </row>
    <row r="1284" spans="1:1" x14ac:dyDescent="0.25">
      <c r="A1284" s="14"/>
    </row>
    <row r="1285" spans="1:1" x14ac:dyDescent="0.25">
      <c r="A1285" s="14"/>
    </row>
    <row r="1286" spans="1:1" x14ac:dyDescent="0.25">
      <c r="A1286" s="14"/>
    </row>
    <row r="1287" spans="1:1" x14ac:dyDescent="0.25">
      <c r="A1287" s="14"/>
    </row>
    <row r="1288" spans="1:1" x14ac:dyDescent="0.25">
      <c r="A1288" s="14"/>
    </row>
    <row r="1289" spans="1:1" x14ac:dyDescent="0.25">
      <c r="A1289" s="14"/>
    </row>
    <row r="1290" spans="1:1" x14ac:dyDescent="0.25">
      <c r="A1290" s="14"/>
    </row>
    <row r="1291" spans="1:1" x14ac:dyDescent="0.25">
      <c r="A1291" s="14"/>
    </row>
    <row r="1292" spans="1:1" x14ac:dyDescent="0.25">
      <c r="A1292" s="14"/>
    </row>
    <row r="1293" spans="1:1" x14ac:dyDescent="0.25">
      <c r="A1293" s="14"/>
    </row>
    <row r="1294" spans="1:1" x14ac:dyDescent="0.25">
      <c r="A1294" s="14"/>
    </row>
    <row r="1295" spans="1:1" x14ac:dyDescent="0.25">
      <c r="A1295" s="14"/>
    </row>
    <row r="1296" spans="1:1" x14ac:dyDescent="0.25">
      <c r="A1296" s="14"/>
    </row>
    <row r="1297" spans="1:1" x14ac:dyDescent="0.25">
      <c r="A1297" s="14"/>
    </row>
    <row r="1298" spans="1:1" x14ac:dyDescent="0.25">
      <c r="A1298" s="14"/>
    </row>
    <row r="1299" spans="1:1" x14ac:dyDescent="0.25">
      <c r="A1299" s="14"/>
    </row>
    <row r="1300" spans="1:1" x14ac:dyDescent="0.25">
      <c r="A1300" s="14"/>
    </row>
    <row r="1301" spans="1:1" x14ac:dyDescent="0.25">
      <c r="A1301" s="14"/>
    </row>
    <row r="1302" spans="1:1" x14ac:dyDescent="0.25">
      <c r="A1302" s="14"/>
    </row>
    <row r="1303" spans="1:1" x14ac:dyDescent="0.25">
      <c r="A1303" s="14"/>
    </row>
    <row r="1304" spans="1:1" x14ac:dyDescent="0.25">
      <c r="A1304" s="14"/>
    </row>
    <row r="1305" spans="1:1" x14ac:dyDescent="0.25">
      <c r="A1305" s="14"/>
    </row>
    <row r="1306" spans="1:1" x14ac:dyDescent="0.25">
      <c r="A1306" s="14"/>
    </row>
    <row r="1307" spans="1:1" x14ac:dyDescent="0.25">
      <c r="A1307" s="14"/>
    </row>
    <row r="1308" spans="1:1" x14ac:dyDescent="0.25">
      <c r="A1308" s="14"/>
    </row>
    <row r="1309" spans="1:1" x14ac:dyDescent="0.25">
      <c r="A1309" s="14"/>
    </row>
    <row r="1310" spans="1:1" x14ac:dyDescent="0.25">
      <c r="A1310" s="14"/>
    </row>
    <row r="1311" spans="1:1" x14ac:dyDescent="0.25">
      <c r="A1311" s="14"/>
    </row>
    <row r="1312" spans="1:1" x14ac:dyDescent="0.25">
      <c r="A1312" s="14"/>
    </row>
    <row r="1313" spans="1:1" x14ac:dyDescent="0.25">
      <c r="A1313" s="14"/>
    </row>
    <row r="1314" spans="1:1" x14ac:dyDescent="0.25">
      <c r="A1314" s="14"/>
    </row>
    <row r="1315" spans="1:1" x14ac:dyDescent="0.25">
      <c r="A1315" s="14"/>
    </row>
    <row r="1316" spans="1:1" x14ac:dyDescent="0.25">
      <c r="A1316" s="14"/>
    </row>
    <row r="1317" spans="1:1" x14ac:dyDescent="0.25">
      <c r="A1317" s="14"/>
    </row>
    <row r="1318" spans="1:1" x14ac:dyDescent="0.25">
      <c r="A1318" s="14"/>
    </row>
    <row r="1319" spans="1:1" x14ac:dyDescent="0.25">
      <c r="A1319" s="14"/>
    </row>
    <row r="1320" spans="1:1" x14ac:dyDescent="0.25">
      <c r="A1320" s="14"/>
    </row>
    <row r="1321" spans="1:1" x14ac:dyDescent="0.25">
      <c r="A1321" s="14"/>
    </row>
    <row r="1322" spans="1:1" x14ac:dyDescent="0.25">
      <c r="A1322" s="14"/>
    </row>
    <row r="1323" spans="1:1" x14ac:dyDescent="0.25">
      <c r="A1323" s="14"/>
    </row>
    <row r="1324" spans="1:1" x14ac:dyDescent="0.25">
      <c r="A1324" s="14"/>
    </row>
    <row r="1325" spans="1:1" x14ac:dyDescent="0.25">
      <c r="A1325" s="14"/>
    </row>
    <row r="1326" spans="1:1" x14ac:dyDescent="0.25">
      <c r="A1326" s="14"/>
    </row>
    <row r="1327" spans="1:1" x14ac:dyDescent="0.25">
      <c r="A1327" s="14"/>
    </row>
    <row r="1328" spans="1:1" x14ac:dyDescent="0.25">
      <c r="A1328" s="14"/>
    </row>
    <row r="1329" spans="1:1" x14ac:dyDescent="0.25">
      <c r="A1329" s="14"/>
    </row>
    <row r="1330" spans="1:1" x14ac:dyDescent="0.25">
      <c r="A1330" s="14"/>
    </row>
    <row r="1331" spans="1:1" x14ac:dyDescent="0.25">
      <c r="A1331" s="14"/>
    </row>
    <row r="1332" spans="1:1" x14ac:dyDescent="0.25">
      <c r="A1332" s="14"/>
    </row>
    <row r="1333" spans="1:1" x14ac:dyDescent="0.25">
      <c r="A1333" s="14"/>
    </row>
    <row r="1334" spans="1:1" x14ac:dyDescent="0.25">
      <c r="A1334" s="14"/>
    </row>
    <row r="1335" spans="1:1" x14ac:dyDescent="0.25">
      <c r="A1335" s="14"/>
    </row>
    <row r="1336" spans="1:1" x14ac:dyDescent="0.25">
      <c r="A1336" s="14"/>
    </row>
    <row r="1337" spans="1:1" x14ac:dyDescent="0.25">
      <c r="A1337" s="14"/>
    </row>
    <row r="1338" spans="1:1" x14ac:dyDescent="0.25">
      <c r="A1338" s="14"/>
    </row>
    <row r="1339" spans="1:1" x14ac:dyDescent="0.25">
      <c r="A1339" s="14"/>
    </row>
    <row r="1340" spans="1:1" x14ac:dyDescent="0.25">
      <c r="A1340" s="14"/>
    </row>
    <row r="1341" spans="1:1" x14ac:dyDescent="0.25">
      <c r="A1341" s="14"/>
    </row>
    <row r="1342" spans="1:1" x14ac:dyDescent="0.25">
      <c r="A1342" s="14"/>
    </row>
    <row r="1343" spans="1:1" x14ac:dyDescent="0.25">
      <c r="A1343" s="14"/>
    </row>
    <row r="1344" spans="1:1" x14ac:dyDescent="0.25">
      <c r="A1344" s="14"/>
    </row>
    <row r="1345" spans="1:1" x14ac:dyDescent="0.25">
      <c r="A1345" s="14"/>
    </row>
    <row r="1346" spans="1:1" x14ac:dyDescent="0.25">
      <c r="A1346" s="14"/>
    </row>
    <row r="1347" spans="1:1" x14ac:dyDescent="0.25">
      <c r="A1347" s="14"/>
    </row>
    <row r="1348" spans="1:1" x14ac:dyDescent="0.25">
      <c r="A1348" s="14"/>
    </row>
    <row r="1349" spans="1:1" x14ac:dyDescent="0.25">
      <c r="A1349" s="14"/>
    </row>
    <row r="1350" spans="1:1" x14ac:dyDescent="0.25">
      <c r="A1350" s="14"/>
    </row>
    <row r="1351" spans="1:1" x14ac:dyDescent="0.25">
      <c r="A1351" s="14"/>
    </row>
    <row r="1352" spans="1:1" x14ac:dyDescent="0.25">
      <c r="A1352" s="14"/>
    </row>
    <row r="1353" spans="1:1" x14ac:dyDescent="0.25">
      <c r="A1353" s="14"/>
    </row>
    <row r="1354" spans="1:1" x14ac:dyDescent="0.25">
      <c r="A1354" s="14"/>
    </row>
    <row r="1355" spans="1:1" x14ac:dyDescent="0.25">
      <c r="A1355" s="14"/>
    </row>
    <row r="1356" spans="1:1" x14ac:dyDescent="0.25">
      <c r="A1356" s="14"/>
    </row>
    <row r="1357" spans="1:1" x14ac:dyDescent="0.25">
      <c r="A1357" s="14"/>
    </row>
    <row r="1358" spans="1:1" x14ac:dyDescent="0.25">
      <c r="A1358" s="14"/>
    </row>
    <row r="1359" spans="1:1" x14ac:dyDescent="0.25">
      <c r="A1359" s="14"/>
    </row>
    <row r="1360" spans="1:1" x14ac:dyDescent="0.25">
      <c r="A1360" s="14"/>
    </row>
    <row r="1361" spans="1:1" x14ac:dyDescent="0.25">
      <c r="A1361" s="14"/>
    </row>
    <row r="1362" spans="1:1" x14ac:dyDescent="0.25">
      <c r="A1362" s="14"/>
    </row>
    <row r="1363" spans="1:1" x14ac:dyDescent="0.25">
      <c r="A1363" s="14"/>
    </row>
    <row r="1364" spans="1:1" x14ac:dyDescent="0.25">
      <c r="A1364" s="14"/>
    </row>
    <row r="1365" spans="1:1" x14ac:dyDescent="0.25">
      <c r="A1365" s="14"/>
    </row>
    <row r="1366" spans="1:1" x14ac:dyDescent="0.25">
      <c r="A1366" s="14"/>
    </row>
    <row r="1367" spans="1:1" x14ac:dyDescent="0.25">
      <c r="A1367" s="14"/>
    </row>
    <row r="1368" spans="1:1" x14ac:dyDescent="0.25">
      <c r="A1368" s="14"/>
    </row>
    <row r="1369" spans="1:1" x14ac:dyDescent="0.25">
      <c r="A1369" s="14"/>
    </row>
    <row r="1370" spans="1:1" x14ac:dyDescent="0.25">
      <c r="A1370" s="14"/>
    </row>
    <row r="1371" spans="1:1" x14ac:dyDescent="0.25">
      <c r="A1371" s="14"/>
    </row>
    <row r="1372" spans="1:1" x14ac:dyDescent="0.25">
      <c r="A1372" s="14"/>
    </row>
    <row r="1373" spans="1:1" x14ac:dyDescent="0.25">
      <c r="A1373" s="14"/>
    </row>
    <row r="1374" spans="1:1" x14ac:dyDescent="0.25">
      <c r="A1374" s="14"/>
    </row>
    <row r="1375" spans="1:1" x14ac:dyDescent="0.25">
      <c r="A1375" s="14"/>
    </row>
    <row r="1376" spans="1:1" x14ac:dyDescent="0.25">
      <c r="A1376" s="14"/>
    </row>
    <row r="1377" spans="1:1" x14ac:dyDescent="0.25">
      <c r="A1377" s="14"/>
    </row>
    <row r="1378" spans="1:1" x14ac:dyDescent="0.25">
      <c r="A1378" s="14"/>
    </row>
    <row r="1379" spans="1:1" x14ac:dyDescent="0.25">
      <c r="A1379" s="14"/>
    </row>
    <row r="1380" spans="1:1" x14ac:dyDescent="0.25">
      <c r="A1380" s="14"/>
    </row>
    <row r="1381" spans="1:1" x14ac:dyDescent="0.25">
      <c r="A1381" s="14"/>
    </row>
    <row r="1382" spans="1:1" x14ac:dyDescent="0.25">
      <c r="A1382" s="14"/>
    </row>
    <row r="1383" spans="1:1" x14ac:dyDescent="0.25">
      <c r="A1383" s="14"/>
    </row>
    <row r="1384" spans="1:1" x14ac:dyDescent="0.25">
      <c r="A1384" s="14"/>
    </row>
    <row r="1385" spans="1:1" x14ac:dyDescent="0.25">
      <c r="A1385" s="14"/>
    </row>
    <row r="1386" spans="1:1" x14ac:dyDescent="0.25">
      <c r="A1386" s="14"/>
    </row>
    <row r="1387" spans="1:1" x14ac:dyDescent="0.25">
      <c r="A1387" s="14"/>
    </row>
    <row r="1388" spans="1:1" x14ac:dyDescent="0.25">
      <c r="A1388" s="14"/>
    </row>
    <row r="1389" spans="1:1" x14ac:dyDescent="0.25">
      <c r="A1389" s="14"/>
    </row>
    <row r="1390" spans="1:1" x14ac:dyDescent="0.25">
      <c r="A1390" s="14"/>
    </row>
    <row r="1391" spans="1:1" x14ac:dyDescent="0.25">
      <c r="A1391" s="14"/>
    </row>
    <row r="1392" spans="1:1" x14ac:dyDescent="0.25">
      <c r="A1392" s="14"/>
    </row>
    <row r="1393" spans="1:1" x14ac:dyDescent="0.25">
      <c r="A1393" s="14"/>
    </row>
    <row r="1394" spans="1:1" x14ac:dyDescent="0.25">
      <c r="A1394" s="14"/>
    </row>
    <row r="1395" spans="1:1" x14ac:dyDescent="0.25">
      <c r="A1395" s="14"/>
    </row>
    <row r="1396" spans="1:1" x14ac:dyDescent="0.25">
      <c r="A1396" s="14"/>
    </row>
    <row r="1397" spans="1:1" x14ac:dyDescent="0.25">
      <c r="A1397" s="14"/>
    </row>
    <row r="1398" spans="1:1" x14ac:dyDescent="0.25">
      <c r="A1398" s="14"/>
    </row>
    <row r="1399" spans="1:1" x14ac:dyDescent="0.25">
      <c r="A1399" s="14"/>
    </row>
    <row r="1400" spans="1:1" x14ac:dyDescent="0.25">
      <c r="A1400" s="14"/>
    </row>
    <row r="1401" spans="1:1" x14ac:dyDescent="0.25">
      <c r="A1401" s="14"/>
    </row>
    <row r="1402" spans="1:1" x14ac:dyDescent="0.25">
      <c r="A1402" s="14"/>
    </row>
    <row r="1403" spans="1:1" x14ac:dyDescent="0.25">
      <c r="A1403" s="14"/>
    </row>
    <row r="1404" spans="1:1" x14ac:dyDescent="0.25">
      <c r="A1404" s="14"/>
    </row>
    <row r="1405" spans="1:1" x14ac:dyDescent="0.25">
      <c r="A1405" s="14"/>
    </row>
    <row r="1406" spans="1:1" x14ac:dyDescent="0.25">
      <c r="A1406" s="14"/>
    </row>
    <row r="1407" spans="1:1" x14ac:dyDescent="0.25">
      <c r="A1407" s="14"/>
    </row>
    <row r="1408" spans="1:1" x14ac:dyDescent="0.25">
      <c r="A1408" s="14"/>
    </row>
    <row r="1409" spans="1:1" x14ac:dyDescent="0.25">
      <c r="A1409" s="14"/>
    </row>
    <row r="1410" spans="1:1" x14ac:dyDescent="0.25">
      <c r="A1410" s="14"/>
    </row>
  </sheetData>
  <sheetProtection algorithmName="SHA-512" hashValue="ngnwstMl7mw4sEauhq1noMZo1TwYDB419IY7MjeBdPeCMOcm9TDXKCkYAPeqEDzkcrR5NunlYMQC9e2511Iu+Q==" saltValue="tVLp36bkIrFAfwXls2Q91A==" spinCount="100000" sheet="1" objects="1" scenarios="1" autoFilter="0"/>
  <autoFilter ref="B32:M87" xr:uid="{CDD5D0B5-1230-432D-8812-DCE4FF751CDD}"/>
  <mergeCells count="2">
    <mergeCell ref="B6:N7"/>
    <mergeCell ref="O6:AA7"/>
  </mergeCells>
  <phoneticPr fontId="1" type="noConversion"/>
  <pageMargins left="0.70866141732283461" right="0.70866141732283461" top="0.74803149606299213" bottom="0.74803149606299213" header="0.31496062992125984" footer="0.31496062992125984"/>
  <pageSetup paperSize="1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Go_home">
                <anchor moveWithCells="1" sizeWithCells="1">
                  <from>
                    <xdr:col>1</xdr:col>
                    <xdr:colOff>180975</xdr:colOff>
                    <xdr:row>5</xdr:row>
                    <xdr:rowOff>57150</xdr:rowOff>
                  </from>
                  <to>
                    <xdr:col>2</xdr:col>
                    <xdr:colOff>171450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go_booking">
                <anchor moveWithCells="1" sizeWithCells="1">
                  <from>
                    <xdr:col>2</xdr:col>
                    <xdr:colOff>266700</xdr:colOff>
                    <xdr:row>5</xdr:row>
                    <xdr:rowOff>57150</xdr:rowOff>
                  </from>
                  <to>
                    <xdr:col>3</xdr:col>
                    <xdr:colOff>133350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pinvo2">
                <anchor moveWithCells="1" sizeWithCells="1">
                  <from>
                    <xdr:col>6</xdr:col>
                    <xdr:colOff>238125</xdr:colOff>
                    <xdr:row>5</xdr:row>
                    <xdr:rowOff>47625</xdr:rowOff>
                  </from>
                  <to>
                    <xdr:col>7</xdr:col>
                    <xdr:colOff>142875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Clear_invoice">
                <anchor moveWithCells="1" sizeWithCells="1">
                  <from>
                    <xdr:col>4</xdr:col>
                    <xdr:colOff>885825</xdr:colOff>
                    <xdr:row>5</xdr:row>
                    <xdr:rowOff>47625</xdr:rowOff>
                  </from>
                  <to>
                    <xdr:col>6</xdr:col>
                    <xdr:colOff>133350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Export_staff_details">
                <anchor moveWithCells="1" sizeWithCells="1">
                  <from>
                    <xdr:col>7</xdr:col>
                    <xdr:colOff>257175</xdr:colOff>
                    <xdr:row>5</xdr:row>
                    <xdr:rowOff>47625</xdr:rowOff>
                  </from>
                  <to>
                    <xdr:col>8</xdr:col>
                    <xdr:colOff>171450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548AD-4946-4B8C-B54E-2BCA2B868C89}">
  <sheetPr codeName="Sheet10">
    <tabColor theme="5" tint="-0.249977111117893"/>
    <pageSetUpPr fitToPage="1"/>
  </sheetPr>
  <dimension ref="A1:AJ500"/>
  <sheetViews>
    <sheetView showZeros="0" zoomScaleNormal="100" workbookViewId="0">
      <selection activeCell="P48" sqref="P48"/>
    </sheetView>
  </sheetViews>
  <sheetFormatPr defaultRowHeight="15" x14ac:dyDescent="0.25"/>
  <cols>
    <col min="1" max="1" width="17.140625" customWidth="1"/>
    <col min="2" max="3" width="13.140625" customWidth="1"/>
    <col min="4" max="5" width="13" customWidth="1"/>
    <col min="6" max="6" width="13" style="10" customWidth="1"/>
    <col min="7" max="7" width="14.42578125" customWidth="1"/>
    <col min="8" max="8" width="17.7109375" customWidth="1"/>
    <col min="9" max="9" width="16" customWidth="1"/>
    <col min="10" max="10" width="14.28515625" customWidth="1"/>
    <col min="11" max="11" width="27" customWidth="1"/>
    <col min="12" max="12" width="9.28515625" style="14" customWidth="1"/>
    <col min="13" max="13" width="9.5703125" style="14" customWidth="1"/>
    <col min="14" max="14" width="11.85546875" style="14" customWidth="1"/>
    <col min="15" max="15" width="13.42578125" style="14" customWidth="1"/>
    <col min="16" max="16" width="11" style="14" customWidth="1"/>
    <col min="17" max="36" width="9.140625" style="14"/>
  </cols>
  <sheetData>
    <row r="1" spans="1:15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5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</row>
    <row r="3" spans="1:15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</row>
    <row r="4" spans="1:15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</row>
    <row r="5" spans="1:15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</row>
    <row r="6" spans="1:15" ht="22.5" customHeight="1" x14ac:dyDescent="0.25">
      <c r="A6" s="239" t="s">
        <v>195</v>
      </c>
      <c r="B6" s="239"/>
      <c r="C6" s="4"/>
      <c r="D6" s="4"/>
      <c r="E6" s="4"/>
      <c r="F6" s="140"/>
      <c r="G6" s="4"/>
      <c r="H6" s="4"/>
      <c r="I6" s="4"/>
      <c r="J6" s="4"/>
      <c r="K6" s="4"/>
      <c r="L6" s="23"/>
      <c r="M6" s="23"/>
      <c r="N6" s="17"/>
      <c r="O6" s="17"/>
    </row>
    <row r="7" spans="1:15" ht="15" customHeight="1" x14ac:dyDescent="0.25">
      <c r="A7" s="239"/>
      <c r="B7" s="239"/>
      <c r="C7" s="4"/>
      <c r="D7" s="4"/>
      <c r="E7" s="4"/>
      <c r="F7" s="140"/>
      <c r="G7" s="4"/>
      <c r="H7" s="4"/>
      <c r="I7" s="4"/>
      <c r="J7" s="4"/>
      <c r="K7" s="4"/>
      <c r="L7" s="23"/>
      <c r="M7" s="23"/>
      <c r="N7" s="17"/>
      <c r="O7" s="17"/>
    </row>
    <row r="8" spans="1:15" x14ac:dyDescent="0.25">
      <c r="A8" s="14"/>
      <c r="B8" s="14"/>
      <c r="C8" s="14"/>
      <c r="D8" s="14"/>
      <c r="E8" s="14"/>
      <c r="F8" s="18"/>
      <c r="G8" s="14"/>
      <c r="H8" s="14"/>
      <c r="I8" s="14"/>
      <c r="J8" s="14"/>
      <c r="K8" s="14"/>
    </row>
    <row r="9" spans="1:15" ht="20.100000000000001" customHeight="1" x14ac:dyDescent="0.25">
      <c r="A9" s="14"/>
      <c r="B9" s="141" t="s">
        <v>31</v>
      </c>
      <c r="C9" s="219"/>
      <c r="D9" s="14"/>
      <c r="E9" s="18"/>
      <c r="F9" s="14"/>
      <c r="G9" s="14"/>
      <c r="H9" s="14"/>
      <c r="I9" s="14"/>
      <c r="J9" s="14"/>
      <c r="K9" s="14"/>
    </row>
    <row r="10" spans="1:15" ht="20.100000000000001" customHeight="1" x14ac:dyDescent="0.25">
      <c r="A10" s="14"/>
      <c r="B10" s="14"/>
      <c r="C10" s="14"/>
      <c r="D10" s="14"/>
      <c r="E10" s="18"/>
      <c r="F10" s="14"/>
      <c r="G10" s="14"/>
      <c r="H10" s="14"/>
      <c r="I10" s="14"/>
      <c r="J10" s="14"/>
      <c r="K10" s="14"/>
    </row>
    <row r="11" spans="1:15" ht="20.100000000000001" customHeight="1" x14ac:dyDescent="0.25">
      <c r="A11" s="14"/>
      <c r="B11" s="141" t="s">
        <v>196</v>
      </c>
      <c r="C11" s="142"/>
      <c r="D11" s="14"/>
      <c r="E11" s="141" t="s">
        <v>197</v>
      </c>
      <c r="F11" s="142"/>
      <c r="G11" s="14"/>
      <c r="H11" s="14"/>
      <c r="I11" s="14"/>
      <c r="J11" s="14"/>
      <c r="K11" s="14"/>
    </row>
    <row r="12" spans="1:15" ht="20.100000000000001" customHeight="1" x14ac:dyDescent="0.25">
      <c r="A12" s="14"/>
      <c r="B12" s="14"/>
      <c r="C12" s="14"/>
      <c r="D12" s="14"/>
      <c r="E12" s="18"/>
      <c r="F12" s="14"/>
      <c r="G12" s="14"/>
      <c r="H12" s="14"/>
      <c r="I12" s="238" t="s">
        <v>174</v>
      </c>
      <c r="J12" s="238"/>
      <c r="K12" s="238"/>
      <c r="L12" s="238"/>
      <c r="M12" s="238"/>
    </row>
    <row r="13" spans="1:15" ht="20.100000000000001" customHeight="1" x14ac:dyDescent="0.25">
      <c r="A13" s="14"/>
      <c r="B13" s="141" t="s">
        <v>170</v>
      </c>
      <c r="C13" s="219"/>
      <c r="D13" s="14"/>
      <c r="E13" s="141" t="s">
        <v>173</v>
      </c>
      <c r="F13" s="142"/>
      <c r="G13" s="14"/>
      <c r="H13" s="14"/>
      <c r="I13" s="227" t="str">
        <f>LOOKUP(L13, F31:F300, B31:B300)</f>
        <v>Miss</v>
      </c>
      <c r="J13" s="228" t="str">
        <f>LOOKUP(L13, F31:F300, C31:C300)</f>
        <v>Aleshia</v>
      </c>
      <c r="K13" s="228" t="str">
        <f>LOOKUP(L13, F31:F300,D31:D300)</f>
        <v>Tomkiewicz</v>
      </c>
      <c r="L13" s="228">
        <f>MIN(F31:F262)</f>
        <v>11</v>
      </c>
      <c r="M13" s="60" t="s">
        <v>175</v>
      </c>
    </row>
    <row r="14" spans="1:15" ht="20.100000000000001" customHeight="1" x14ac:dyDescent="0.25">
      <c r="A14" s="14"/>
      <c r="B14" s="14"/>
      <c r="C14" s="14"/>
      <c r="D14" s="14"/>
      <c r="E14" s="18"/>
      <c r="F14" s="14"/>
      <c r="G14" s="14"/>
      <c r="H14" s="14"/>
      <c r="I14" s="14"/>
      <c r="J14" s="14"/>
      <c r="K14" s="14"/>
    </row>
    <row r="15" spans="1:15" ht="20.100000000000001" customHeight="1" x14ac:dyDescent="0.25">
      <c r="A15" s="14"/>
      <c r="B15" s="141" t="s">
        <v>58</v>
      </c>
      <c r="C15" s="142"/>
      <c r="D15" s="14"/>
      <c r="E15" s="141" t="s">
        <v>59</v>
      </c>
      <c r="F15" s="142"/>
      <c r="G15" s="14"/>
      <c r="H15" s="14"/>
      <c r="I15" s="238" t="s">
        <v>177</v>
      </c>
      <c r="J15" s="238"/>
      <c r="K15" s="238"/>
      <c r="L15" s="238"/>
      <c r="M15" s="238"/>
    </row>
    <row r="16" spans="1:15" ht="20.100000000000001" customHeight="1" x14ac:dyDescent="0.25">
      <c r="A16" s="14"/>
      <c r="B16" s="14"/>
      <c r="C16" s="14"/>
      <c r="D16" s="14"/>
      <c r="E16" s="18"/>
      <c r="F16" s="14"/>
      <c r="G16" s="14"/>
      <c r="H16" s="14"/>
      <c r="I16" s="227" t="str">
        <f>LOOKUP(L16, F31:F303, B31:B303)</f>
        <v>Mr</v>
      </c>
      <c r="J16" s="228" t="str">
        <f>LOOKUP(L16, F31:F303, C31:C303)</f>
        <v>Hobert</v>
      </c>
      <c r="K16" s="59" t="str">
        <f>LOOKUP(L16, F31:F303,D31:D303)</f>
        <v>Panfilov</v>
      </c>
      <c r="L16" s="228">
        <f>MAX(F:F,F4:F33)</f>
        <v>78</v>
      </c>
      <c r="M16" s="229" t="s">
        <v>175</v>
      </c>
    </row>
    <row r="17" spans="1:19" ht="20.100000000000001" customHeight="1" x14ac:dyDescent="0.25">
      <c r="A17" s="14"/>
      <c r="B17" s="141" t="s">
        <v>60</v>
      </c>
      <c r="C17" s="142"/>
      <c r="D17" s="14"/>
      <c r="E17" s="141" t="s">
        <v>198</v>
      </c>
      <c r="F17" s="240"/>
      <c r="G17" s="241"/>
      <c r="H17" s="14"/>
      <c r="I17" s="14"/>
      <c r="J17" s="14"/>
      <c r="K17" s="14"/>
    </row>
    <row r="18" spans="1:19" ht="20.100000000000001" customHeight="1" x14ac:dyDescent="0.25">
      <c r="A18" s="14"/>
      <c r="B18" s="14"/>
      <c r="C18" s="14"/>
      <c r="D18" s="14"/>
      <c r="E18" s="18"/>
      <c r="F18" s="14"/>
      <c r="G18" s="14"/>
      <c r="H18" s="14"/>
      <c r="I18" s="43" t="s">
        <v>176</v>
      </c>
      <c r="J18" s="61">
        <f>AVERAGE(F31:F300)</f>
        <v>29.407766990291261</v>
      </c>
      <c r="K18" s="14"/>
    </row>
    <row r="19" spans="1:19" ht="20.25" customHeight="1" x14ac:dyDescent="0.25">
      <c r="A19" s="14"/>
      <c r="B19" s="141" t="s">
        <v>62</v>
      </c>
      <c r="C19" s="222"/>
      <c r="D19" s="223"/>
      <c r="E19" s="18"/>
      <c r="F19" s="14"/>
      <c r="G19" s="14"/>
      <c r="H19" s="14"/>
      <c r="I19" s="14"/>
      <c r="J19" s="14"/>
      <c r="K19" s="14"/>
    </row>
    <row r="20" spans="1:19" x14ac:dyDescent="0.25">
      <c r="A20" s="14"/>
      <c r="B20" s="14"/>
      <c r="C20" s="14"/>
      <c r="D20" s="14"/>
      <c r="E20" s="14"/>
      <c r="F20" s="18"/>
      <c r="G20" s="14"/>
      <c r="H20" s="14"/>
      <c r="I20" s="14"/>
      <c r="J20" s="14"/>
      <c r="K20" s="14"/>
    </row>
    <row r="21" spans="1:19" x14ac:dyDescent="0.25">
      <c r="A21" s="14"/>
      <c r="B21" s="14"/>
      <c r="C21" s="14"/>
      <c r="D21" s="14"/>
      <c r="E21" s="14"/>
      <c r="F21" s="18"/>
      <c r="G21" s="14"/>
      <c r="H21" s="14"/>
      <c r="I21" s="14"/>
      <c r="J21" s="14"/>
      <c r="K21" s="14"/>
    </row>
    <row r="22" spans="1:19" x14ac:dyDescent="0.25">
      <c r="A22" s="4"/>
      <c r="B22" s="4"/>
      <c r="C22" s="4"/>
      <c r="D22" s="4"/>
      <c r="E22" s="4"/>
      <c r="F22" s="89"/>
      <c r="G22" s="4"/>
      <c r="H22" s="4"/>
      <c r="I22" s="4"/>
      <c r="J22" s="4"/>
      <c r="K22" s="4"/>
      <c r="L22" s="4"/>
      <c r="M22" s="4"/>
    </row>
    <row r="23" spans="1:19" x14ac:dyDescent="0.25">
      <c r="A23" s="14" t="s">
        <v>168</v>
      </c>
      <c r="B23" s="14"/>
      <c r="C23" s="14"/>
      <c r="D23" s="14"/>
      <c r="E23" s="14"/>
      <c r="F23" s="19"/>
      <c r="G23" s="14"/>
      <c r="H23" s="14"/>
      <c r="I23" s="14"/>
      <c r="J23" s="14"/>
      <c r="K23" s="14"/>
      <c r="R23" s="32">
        <v>1</v>
      </c>
      <c r="S23" s="32" t="s">
        <v>44</v>
      </c>
    </row>
    <row r="24" spans="1:19" x14ac:dyDescent="0.25">
      <c r="A24" s="15" t="s">
        <v>6</v>
      </c>
      <c r="B24" s="15" t="s">
        <v>31</v>
      </c>
      <c r="C24" s="15" t="s">
        <v>56</v>
      </c>
      <c r="D24" s="15" t="s">
        <v>57</v>
      </c>
      <c r="E24" s="15" t="s">
        <v>170</v>
      </c>
      <c r="F24" s="15" t="s">
        <v>173</v>
      </c>
      <c r="G24" s="15" t="s">
        <v>58</v>
      </c>
      <c r="H24" s="15" t="s">
        <v>59</v>
      </c>
      <c r="I24" s="15" t="s">
        <v>60</v>
      </c>
      <c r="J24" s="15" t="s">
        <v>61</v>
      </c>
      <c r="K24" s="15" t="s">
        <v>62</v>
      </c>
      <c r="L24" s="4"/>
      <c r="M24" s="4"/>
      <c r="R24" s="32">
        <v>2</v>
      </c>
      <c r="S24" s="32" t="s">
        <v>78</v>
      </c>
    </row>
    <row r="25" spans="1:19" x14ac:dyDescent="0.25">
      <c r="A25" s="143">
        <f>MAX(Member_IDi)+1</f>
        <v>104</v>
      </c>
      <c r="B25" s="143" t="str">
        <f>IF(C9="","",VLOOKUP(C9,R23:S26,2))</f>
        <v/>
      </c>
      <c r="C25" s="143">
        <f>C11</f>
        <v>0</v>
      </c>
      <c r="D25" s="143">
        <f>F11</f>
        <v>0</v>
      </c>
      <c r="E25" s="143" t="str">
        <f>IF(C13="","",VLOOKUP(C13,R28:S30,2))</f>
        <v/>
      </c>
      <c r="F25" s="143">
        <f>F13</f>
        <v>0</v>
      </c>
      <c r="G25" s="144">
        <f>C15</f>
        <v>0</v>
      </c>
      <c r="H25" s="143">
        <f>F15</f>
        <v>0</v>
      </c>
      <c r="I25" s="143">
        <f>C17</f>
        <v>0</v>
      </c>
      <c r="J25" s="143">
        <f>F17</f>
        <v>0</v>
      </c>
      <c r="K25" s="144">
        <f>C19</f>
        <v>0</v>
      </c>
      <c r="L25" s="4"/>
      <c r="M25" s="4"/>
      <c r="R25" s="32">
        <v>3</v>
      </c>
      <c r="S25" s="32" t="s">
        <v>48</v>
      </c>
    </row>
    <row r="26" spans="1:19" x14ac:dyDescent="0.25">
      <c r="A26" s="14"/>
      <c r="B26" s="14"/>
      <c r="C26" s="14"/>
      <c r="D26" s="14"/>
      <c r="E26" s="14"/>
      <c r="F26" s="18"/>
      <c r="G26" s="14"/>
      <c r="H26" s="14"/>
      <c r="I26" s="14"/>
      <c r="J26" s="14"/>
      <c r="K26" s="14"/>
      <c r="R26" s="32">
        <v>4</v>
      </c>
      <c r="S26" s="32" t="s">
        <v>583</v>
      </c>
    </row>
    <row r="27" spans="1:19" ht="23.25" x14ac:dyDescent="0.25">
      <c r="A27" s="237" t="s">
        <v>55</v>
      </c>
      <c r="B27" s="237"/>
      <c r="C27" s="237"/>
      <c r="D27" s="23"/>
      <c r="E27" s="23"/>
      <c r="F27" s="23"/>
      <c r="G27" s="23"/>
      <c r="H27" s="23"/>
      <c r="I27" s="23"/>
      <c r="J27" s="23"/>
      <c r="K27" s="93"/>
      <c r="R27" s="32"/>
      <c r="S27" s="32"/>
    </row>
    <row r="28" spans="1:19" ht="23.25" x14ac:dyDescent="0.25">
      <c r="A28" s="237"/>
      <c r="B28" s="237"/>
      <c r="C28" s="237"/>
      <c r="D28" s="23"/>
      <c r="E28" s="23"/>
      <c r="F28" s="23"/>
      <c r="G28" s="23"/>
      <c r="H28" s="23"/>
      <c r="I28" s="23"/>
      <c r="J28" s="23"/>
      <c r="K28" s="23"/>
      <c r="R28" s="32">
        <v>1</v>
      </c>
      <c r="S28" s="32" t="s">
        <v>172</v>
      </c>
    </row>
    <row r="29" spans="1:19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R29" s="32">
        <v>2</v>
      </c>
      <c r="S29" s="32" t="s">
        <v>171</v>
      </c>
    </row>
    <row r="30" spans="1:19" x14ac:dyDescent="0.25">
      <c r="A30" s="15" t="s">
        <v>6</v>
      </c>
      <c r="B30" s="15" t="s">
        <v>31</v>
      </c>
      <c r="C30" s="15" t="s">
        <v>56</v>
      </c>
      <c r="D30" s="15" t="s">
        <v>57</v>
      </c>
      <c r="E30" s="15" t="s">
        <v>170</v>
      </c>
      <c r="F30" s="15" t="s">
        <v>173</v>
      </c>
      <c r="G30" s="15" t="s">
        <v>58</v>
      </c>
      <c r="H30" s="15" t="s">
        <v>59</v>
      </c>
      <c r="I30" s="15" t="s">
        <v>60</v>
      </c>
      <c r="J30" s="15" t="s">
        <v>61</v>
      </c>
      <c r="K30" s="15" t="s">
        <v>62</v>
      </c>
      <c r="R30" s="32">
        <v>3</v>
      </c>
      <c r="S30" s="32" t="s">
        <v>584</v>
      </c>
    </row>
    <row r="31" spans="1:19" x14ac:dyDescent="0.25">
      <c r="A31" s="50">
        <v>1</v>
      </c>
      <c r="B31" s="2" t="s">
        <v>48</v>
      </c>
      <c r="C31" t="s">
        <v>49</v>
      </c>
      <c r="D31" s="2" t="s">
        <v>50</v>
      </c>
      <c r="E31" s="2" t="s">
        <v>171</v>
      </c>
      <c r="F31" s="33">
        <v>11</v>
      </c>
      <c r="G31" s="2" t="s">
        <v>63</v>
      </c>
      <c r="H31" s="2" t="s">
        <v>64</v>
      </c>
      <c r="I31" s="2" t="s">
        <v>65</v>
      </c>
      <c r="J31" s="2" t="s">
        <v>66</v>
      </c>
      <c r="K31" s="51" t="s">
        <v>67</v>
      </c>
    </row>
    <row r="32" spans="1:19" x14ac:dyDescent="0.25">
      <c r="A32" s="52">
        <v>2</v>
      </c>
      <c r="B32" s="6" t="s">
        <v>44</v>
      </c>
      <c r="C32" s="6" t="s">
        <v>52</v>
      </c>
      <c r="D32" s="6" t="s">
        <v>53</v>
      </c>
      <c r="E32" s="6" t="s">
        <v>172</v>
      </c>
      <c r="F32" s="11">
        <v>27</v>
      </c>
      <c r="G32" s="6" t="s">
        <v>68</v>
      </c>
      <c r="H32" s="6" t="s">
        <v>64</v>
      </c>
      <c r="I32" s="6" t="s">
        <v>69</v>
      </c>
      <c r="J32" s="6" t="s">
        <v>70</v>
      </c>
      <c r="K32" s="53" t="s">
        <v>71</v>
      </c>
    </row>
    <row r="33" spans="1:11" x14ac:dyDescent="0.25">
      <c r="A33" s="54">
        <v>3</v>
      </c>
      <c r="B33" s="24" t="s">
        <v>44</v>
      </c>
      <c r="C33" s="24" t="s">
        <v>72</v>
      </c>
      <c r="D33" s="24" t="s">
        <v>73</v>
      </c>
      <c r="E33" s="24" t="s">
        <v>172</v>
      </c>
      <c r="F33" s="58">
        <v>30</v>
      </c>
      <c r="G33" s="24" t="s">
        <v>74</v>
      </c>
      <c r="H33" s="24" t="s">
        <v>64</v>
      </c>
      <c r="I33" s="24" t="s">
        <v>75</v>
      </c>
      <c r="J33" s="24" t="s">
        <v>76</v>
      </c>
      <c r="K33" s="55" t="s">
        <v>77</v>
      </c>
    </row>
    <row r="34" spans="1:11" x14ac:dyDescent="0.25">
      <c r="A34" s="52">
        <v>4</v>
      </c>
      <c r="B34" s="6" t="s">
        <v>78</v>
      </c>
      <c r="C34" s="6" t="s">
        <v>79</v>
      </c>
      <c r="D34" s="6" t="s">
        <v>80</v>
      </c>
      <c r="E34" s="6" t="s">
        <v>172</v>
      </c>
      <c r="F34" s="11">
        <v>23</v>
      </c>
      <c r="G34" s="6" t="s">
        <v>81</v>
      </c>
      <c r="H34" s="6" t="s">
        <v>64</v>
      </c>
      <c r="I34" s="6" t="s">
        <v>82</v>
      </c>
      <c r="J34" s="6" t="s">
        <v>83</v>
      </c>
      <c r="K34" s="53" t="s">
        <v>84</v>
      </c>
    </row>
    <row r="35" spans="1:11" x14ac:dyDescent="0.25">
      <c r="A35" s="54">
        <v>5</v>
      </c>
      <c r="B35" s="24" t="s">
        <v>78</v>
      </c>
      <c r="C35" s="24" t="s">
        <v>85</v>
      </c>
      <c r="D35" s="24" t="s">
        <v>86</v>
      </c>
      <c r="E35" s="24" t="s">
        <v>171</v>
      </c>
      <c r="F35" s="58">
        <v>32</v>
      </c>
      <c r="G35" s="24" t="s">
        <v>87</v>
      </c>
      <c r="H35" s="24" t="s">
        <v>64</v>
      </c>
      <c r="I35" s="24" t="s">
        <v>88</v>
      </c>
      <c r="J35" s="24" t="s">
        <v>89</v>
      </c>
      <c r="K35" s="55" t="s">
        <v>90</v>
      </c>
    </row>
    <row r="36" spans="1:11" x14ac:dyDescent="0.25">
      <c r="A36" s="52">
        <v>6</v>
      </c>
      <c r="B36" s="6" t="s">
        <v>48</v>
      </c>
      <c r="C36" s="6" t="s">
        <v>91</v>
      </c>
      <c r="D36" s="6" t="s">
        <v>92</v>
      </c>
      <c r="E36" s="6" t="s">
        <v>171</v>
      </c>
      <c r="F36" s="11">
        <v>20</v>
      </c>
      <c r="G36" s="6" t="s">
        <v>93</v>
      </c>
      <c r="H36" s="6" t="s">
        <v>64</v>
      </c>
      <c r="I36" s="6" t="s">
        <v>94</v>
      </c>
      <c r="J36" s="6" t="s">
        <v>95</v>
      </c>
      <c r="K36" s="53" t="s">
        <v>96</v>
      </c>
    </row>
    <row r="37" spans="1:11" x14ac:dyDescent="0.25">
      <c r="A37" s="56">
        <v>7</v>
      </c>
      <c r="B37" s="1" t="s">
        <v>44</v>
      </c>
      <c r="C37" s="1" t="s">
        <v>97</v>
      </c>
      <c r="D37" s="1" t="s">
        <v>98</v>
      </c>
      <c r="E37" s="1" t="s">
        <v>172</v>
      </c>
      <c r="F37" s="12">
        <v>15</v>
      </c>
      <c r="G37" s="1" t="s">
        <v>99</v>
      </c>
      <c r="H37" s="1" t="s">
        <v>64</v>
      </c>
      <c r="I37" s="1" t="s">
        <v>100</v>
      </c>
      <c r="J37" s="1" t="s">
        <v>101</v>
      </c>
      <c r="K37" s="57" t="s">
        <v>102</v>
      </c>
    </row>
    <row r="38" spans="1:11" x14ac:dyDescent="0.25">
      <c r="A38" s="52">
        <v>8</v>
      </c>
      <c r="B38" s="6" t="s">
        <v>48</v>
      </c>
      <c r="C38" s="6" t="s">
        <v>103</v>
      </c>
      <c r="D38" s="6" t="s">
        <v>104</v>
      </c>
      <c r="E38" s="6" t="s">
        <v>171</v>
      </c>
      <c r="F38" s="11">
        <v>15</v>
      </c>
      <c r="G38" s="6" t="s">
        <v>105</v>
      </c>
      <c r="H38" s="6" t="s">
        <v>64</v>
      </c>
      <c r="I38" s="6" t="s">
        <v>106</v>
      </c>
      <c r="J38" s="6" t="s">
        <v>107</v>
      </c>
      <c r="K38" s="53" t="s">
        <v>108</v>
      </c>
    </row>
    <row r="39" spans="1:11" x14ac:dyDescent="0.25">
      <c r="A39" s="54">
        <v>9</v>
      </c>
      <c r="B39" s="24" t="s">
        <v>44</v>
      </c>
      <c r="C39" s="24" t="s">
        <v>45</v>
      </c>
      <c r="D39" s="24" t="s">
        <v>46</v>
      </c>
      <c r="E39" s="24" t="s">
        <v>172</v>
      </c>
      <c r="F39" s="58">
        <v>18</v>
      </c>
      <c r="G39" s="24" t="s">
        <v>109</v>
      </c>
      <c r="H39" s="24" t="s">
        <v>64</v>
      </c>
      <c r="I39" s="24" t="s">
        <v>110</v>
      </c>
      <c r="J39" s="24" t="s">
        <v>111</v>
      </c>
      <c r="K39" s="55" t="s">
        <v>112</v>
      </c>
    </row>
    <row r="40" spans="1:11" x14ac:dyDescent="0.25">
      <c r="A40" s="52">
        <v>10</v>
      </c>
      <c r="B40" s="6" t="s">
        <v>44</v>
      </c>
      <c r="C40" s="6" t="s">
        <v>182</v>
      </c>
      <c r="D40" s="6" t="s">
        <v>183</v>
      </c>
      <c r="E40" s="6" t="s">
        <v>172</v>
      </c>
      <c r="F40" s="11">
        <v>66</v>
      </c>
      <c r="G40" s="6" t="s">
        <v>99</v>
      </c>
      <c r="H40" s="6" t="s">
        <v>64</v>
      </c>
      <c r="I40" s="6" t="s">
        <v>110</v>
      </c>
      <c r="J40" s="6" t="s">
        <v>184</v>
      </c>
      <c r="K40" s="53" t="s">
        <v>112</v>
      </c>
    </row>
    <row r="41" spans="1:11" x14ac:dyDescent="0.25">
      <c r="A41" s="50">
        <v>11</v>
      </c>
      <c r="B41" s="2" t="s">
        <v>48</v>
      </c>
      <c r="C41" s="1" t="s">
        <v>207</v>
      </c>
      <c r="D41" s="1" t="s">
        <v>208</v>
      </c>
      <c r="E41" s="2" t="s">
        <v>171</v>
      </c>
      <c r="F41" s="12">
        <v>15</v>
      </c>
      <c r="G41" s="47" t="s">
        <v>393</v>
      </c>
      <c r="H41" s="2" t="s">
        <v>64</v>
      </c>
      <c r="I41" s="2" t="s">
        <v>65</v>
      </c>
      <c r="J41" s="2" t="s">
        <v>486</v>
      </c>
      <c r="K41" s="51" t="s">
        <v>67</v>
      </c>
    </row>
    <row r="42" spans="1:11" x14ac:dyDescent="0.25">
      <c r="A42" s="52">
        <v>12</v>
      </c>
      <c r="B42" s="6" t="s">
        <v>44</v>
      </c>
      <c r="C42" s="6" t="s">
        <v>209</v>
      </c>
      <c r="D42" s="6" t="s">
        <v>210</v>
      </c>
      <c r="E42" s="6" t="s">
        <v>172</v>
      </c>
      <c r="F42" s="11">
        <v>18</v>
      </c>
      <c r="G42" s="46" t="s">
        <v>394</v>
      </c>
      <c r="H42" s="6" t="s">
        <v>64</v>
      </c>
      <c r="I42" s="6" t="s">
        <v>69</v>
      </c>
      <c r="J42" s="6" t="s">
        <v>487</v>
      </c>
      <c r="K42" s="53" t="s">
        <v>71</v>
      </c>
    </row>
    <row r="43" spans="1:11" x14ac:dyDescent="0.25">
      <c r="A43" s="54">
        <v>13</v>
      </c>
      <c r="B43" s="24" t="s">
        <v>44</v>
      </c>
      <c r="C43" s="1" t="s">
        <v>211</v>
      </c>
      <c r="D43" s="1" t="s">
        <v>212</v>
      </c>
      <c r="E43" s="24" t="s">
        <v>172</v>
      </c>
      <c r="F43" s="12">
        <v>19</v>
      </c>
      <c r="G43" s="47" t="s">
        <v>395</v>
      </c>
      <c r="H43" s="24" t="s">
        <v>64</v>
      </c>
      <c r="I43" s="24" t="s">
        <v>75</v>
      </c>
      <c r="J43" s="24" t="s">
        <v>488</v>
      </c>
      <c r="K43" s="55" t="s">
        <v>77</v>
      </c>
    </row>
    <row r="44" spans="1:11" x14ac:dyDescent="0.25">
      <c r="A44" s="52">
        <v>14</v>
      </c>
      <c r="B44" s="6" t="s">
        <v>78</v>
      </c>
      <c r="C44" s="6" t="s">
        <v>213</v>
      </c>
      <c r="D44" s="6" t="s">
        <v>214</v>
      </c>
      <c r="E44" s="6" t="s">
        <v>172</v>
      </c>
      <c r="F44" s="11">
        <v>25</v>
      </c>
      <c r="G44" s="46" t="s">
        <v>396</v>
      </c>
      <c r="H44" s="6" t="s">
        <v>64</v>
      </c>
      <c r="I44" s="6" t="s">
        <v>82</v>
      </c>
      <c r="J44" s="6" t="s">
        <v>489</v>
      </c>
      <c r="K44" s="53" t="s">
        <v>84</v>
      </c>
    </row>
    <row r="45" spans="1:11" x14ac:dyDescent="0.25">
      <c r="A45" s="54">
        <v>15</v>
      </c>
      <c r="B45" s="24" t="s">
        <v>78</v>
      </c>
      <c r="C45" s="1" t="s">
        <v>215</v>
      </c>
      <c r="D45" s="1" t="s">
        <v>216</v>
      </c>
      <c r="E45" s="24" t="s">
        <v>171</v>
      </c>
      <c r="F45" s="12">
        <v>21</v>
      </c>
      <c r="G45" s="47" t="s">
        <v>397</v>
      </c>
      <c r="H45" s="24" t="s">
        <v>64</v>
      </c>
      <c r="I45" s="24" t="s">
        <v>88</v>
      </c>
      <c r="J45" s="24" t="s">
        <v>490</v>
      </c>
      <c r="K45" s="55" t="s">
        <v>90</v>
      </c>
    </row>
    <row r="46" spans="1:11" x14ac:dyDescent="0.25">
      <c r="A46" s="52">
        <v>16</v>
      </c>
      <c r="B46" s="6" t="s">
        <v>48</v>
      </c>
      <c r="C46" s="6" t="s">
        <v>217</v>
      </c>
      <c r="D46" s="6" t="s">
        <v>218</v>
      </c>
      <c r="E46" s="6" t="s">
        <v>171</v>
      </c>
      <c r="F46" s="11">
        <v>56</v>
      </c>
      <c r="G46" s="46" t="s">
        <v>398</v>
      </c>
      <c r="H46" s="6" t="s">
        <v>64</v>
      </c>
      <c r="I46" s="6" t="s">
        <v>94</v>
      </c>
      <c r="J46" s="6" t="s">
        <v>491</v>
      </c>
      <c r="K46" s="53" t="s">
        <v>96</v>
      </c>
    </row>
    <row r="47" spans="1:11" x14ac:dyDescent="0.25">
      <c r="A47" s="56">
        <v>17</v>
      </c>
      <c r="B47" s="1" t="s">
        <v>44</v>
      </c>
      <c r="C47" s="1" t="s">
        <v>219</v>
      </c>
      <c r="D47" s="1" t="s">
        <v>220</v>
      </c>
      <c r="E47" s="1" t="s">
        <v>172</v>
      </c>
      <c r="F47" s="12">
        <v>45</v>
      </c>
      <c r="G47" s="47" t="s">
        <v>399</v>
      </c>
      <c r="H47" s="1" t="s">
        <v>64</v>
      </c>
      <c r="I47" s="1" t="s">
        <v>100</v>
      </c>
      <c r="J47" s="1" t="s">
        <v>492</v>
      </c>
      <c r="K47" s="57" t="s">
        <v>102</v>
      </c>
    </row>
    <row r="48" spans="1:11" x14ac:dyDescent="0.25">
      <c r="A48" s="52">
        <v>18</v>
      </c>
      <c r="B48" s="6" t="s">
        <v>48</v>
      </c>
      <c r="C48" s="6" t="s">
        <v>221</v>
      </c>
      <c r="D48" s="6" t="s">
        <v>222</v>
      </c>
      <c r="E48" s="6" t="s">
        <v>171</v>
      </c>
      <c r="F48" s="11">
        <v>32</v>
      </c>
      <c r="G48" s="46" t="s">
        <v>400</v>
      </c>
      <c r="H48" s="6" t="s">
        <v>64</v>
      </c>
      <c r="I48" s="6" t="s">
        <v>106</v>
      </c>
      <c r="J48" s="6" t="s">
        <v>493</v>
      </c>
      <c r="K48" s="53" t="s">
        <v>108</v>
      </c>
    </row>
    <row r="49" spans="1:11" x14ac:dyDescent="0.25">
      <c r="A49" s="54">
        <v>19</v>
      </c>
      <c r="B49" s="24" t="s">
        <v>44</v>
      </c>
      <c r="C49" s="1" t="s">
        <v>223</v>
      </c>
      <c r="D49" s="1" t="s">
        <v>224</v>
      </c>
      <c r="E49" s="24" t="s">
        <v>172</v>
      </c>
      <c r="F49" s="12">
        <v>57</v>
      </c>
      <c r="G49" s="47" t="s">
        <v>401</v>
      </c>
      <c r="H49" s="24" t="s">
        <v>64</v>
      </c>
      <c r="I49" s="24" t="s">
        <v>110</v>
      </c>
      <c r="J49" s="24" t="s">
        <v>494</v>
      </c>
      <c r="K49" s="55" t="s">
        <v>112</v>
      </c>
    </row>
    <row r="50" spans="1:11" x14ac:dyDescent="0.25">
      <c r="A50" s="52">
        <v>20</v>
      </c>
      <c r="B50" s="6" t="s">
        <v>44</v>
      </c>
      <c r="C50" s="6" t="s">
        <v>225</v>
      </c>
      <c r="D50" s="6" t="s">
        <v>226</v>
      </c>
      <c r="E50" s="6" t="s">
        <v>172</v>
      </c>
      <c r="F50" s="11">
        <v>78</v>
      </c>
      <c r="G50" s="46" t="s">
        <v>402</v>
      </c>
      <c r="H50" s="6" t="s">
        <v>64</v>
      </c>
      <c r="I50" s="6" t="s">
        <v>110</v>
      </c>
      <c r="J50" s="6" t="s">
        <v>495</v>
      </c>
      <c r="K50" s="53" t="s">
        <v>112</v>
      </c>
    </row>
    <row r="51" spans="1:11" x14ac:dyDescent="0.25">
      <c r="A51" s="50">
        <v>21</v>
      </c>
      <c r="B51" s="2" t="s">
        <v>48</v>
      </c>
      <c r="C51" s="1" t="s">
        <v>227</v>
      </c>
      <c r="D51" s="1" t="s">
        <v>228</v>
      </c>
      <c r="E51" s="2" t="s">
        <v>171</v>
      </c>
      <c r="F51" s="12">
        <v>75</v>
      </c>
      <c r="G51" s="47" t="s">
        <v>403</v>
      </c>
      <c r="H51" s="2" t="s">
        <v>64</v>
      </c>
      <c r="I51" s="2" t="s">
        <v>65</v>
      </c>
      <c r="J51" s="2" t="s">
        <v>496</v>
      </c>
      <c r="K51" s="51" t="s">
        <v>67</v>
      </c>
    </row>
    <row r="52" spans="1:11" x14ac:dyDescent="0.25">
      <c r="A52" s="52">
        <v>22</v>
      </c>
      <c r="B52" s="6" t="s">
        <v>44</v>
      </c>
      <c r="C52" s="6" t="s">
        <v>229</v>
      </c>
      <c r="D52" s="6" t="s">
        <v>230</v>
      </c>
      <c r="E52" s="6" t="s">
        <v>172</v>
      </c>
      <c r="F52" s="11">
        <v>68</v>
      </c>
      <c r="G52" s="46" t="s">
        <v>404</v>
      </c>
      <c r="H52" s="6" t="s">
        <v>64</v>
      </c>
      <c r="I52" s="6" t="s">
        <v>69</v>
      </c>
      <c r="J52" s="6" t="s">
        <v>497</v>
      </c>
      <c r="K52" s="53" t="s">
        <v>71</v>
      </c>
    </row>
    <row r="53" spans="1:11" x14ac:dyDescent="0.25">
      <c r="A53" s="54">
        <v>23</v>
      </c>
      <c r="B53" s="24" t="s">
        <v>44</v>
      </c>
      <c r="C53" s="1" t="s">
        <v>231</v>
      </c>
      <c r="D53" s="1" t="s">
        <v>232</v>
      </c>
      <c r="E53" s="24" t="s">
        <v>172</v>
      </c>
      <c r="F53" s="12">
        <v>25</v>
      </c>
      <c r="G53" s="47" t="s">
        <v>405</v>
      </c>
      <c r="H53" s="24" t="s">
        <v>64</v>
      </c>
      <c r="I53" s="24" t="s">
        <v>75</v>
      </c>
      <c r="J53" s="24" t="s">
        <v>498</v>
      </c>
      <c r="K53" s="55" t="s">
        <v>77</v>
      </c>
    </row>
    <row r="54" spans="1:11" x14ac:dyDescent="0.25">
      <c r="A54" s="52">
        <v>24</v>
      </c>
      <c r="B54" s="6" t="s">
        <v>78</v>
      </c>
      <c r="C54" s="6" t="s">
        <v>233</v>
      </c>
      <c r="D54" s="6" t="s">
        <v>234</v>
      </c>
      <c r="E54" s="6" t="s">
        <v>172</v>
      </c>
      <c r="F54" s="11">
        <v>21</v>
      </c>
      <c r="G54" s="46" t="s">
        <v>406</v>
      </c>
      <c r="H54" s="6" t="s">
        <v>64</v>
      </c>
      <c r="I54" s="6" t="s">
        <v>82</v>
      </c>
      <c r="J54" s="6" t="s">
        <v>499</v>
      </c>
      <c r="K54" s="53" t="s">
        <v>84</v>
      </c>
    </row>
    <row r="55" spans="1:11" x14ac:dyDescent="0.25">
      <c r="A55" s="54">
        <v>25</v>
      </c>
      <c r="B55" s="24" t="s">
        <v>78</v>
      </c>
      <c r="C55" s="1" t="s">
        <v>235</v>
      </c>
      <c r="D55" s="1" t="s">
        <v>236</v>
      </c>
      <c r="E55" s="24" t="s">
        <v>171</v>
      </c>
      <c r="F55" s="12">
        <v>20</v>
      </c>
      <c r="G55" s="47" t="s">
        <v>407</v>
      </c>
      <c r="H55" s="24" t="s">
        <v>64</v>
      </c>
      <c r="I55" s="24" t="s">
        <v>88</v>
      </c>
      <c r="J55" s="24" t="s">
        <v>500</v>
      </c>
      <c r="K55" s="55" t="s">
        <v>90</v>
      </c>
    </row>
    <row r="56" spans="1:11" x14ac:dyDescent="0.25">
      <c r="A56" s="52">
        <v>26</v>
      </c>
      <c r="B56" s="6" t="s">
        <v>48</v>
      </c>
      <c r="C56" s="6" t="s">
        <v>237</v>
      </c>
      <c r="D56" s="6" t="s">
        <v>238</v>
      </c>
      <c r="E56" s="6" t="s">
        <v>171</v>
      </c>
      <c r="F56" s="11">
        <v>19</v>
      </c>
      <c r="G56" s="46" t="s">
        <v>408</v>
      </c>
      <c r="H56" s="6" t="s">
        <v>64</v>
      </c>
      <c r="I56" s="6" t="s">
        <v>94</v>
      </c>
      <c r="J56" s="6" t="s">
        <v>501</v>
      </c>
      <c r="K56" s="53" t="s">
        <v>96</v>
      </c>
    </row>
    <row r="57" spans="1:11" x14ac:dyDescent="0.25">
      <c r="A57" s="56">
        <v>27</v>
      </c>
      <c r="B57" s="1" t="s">
        <v>44</v>
      </c>
      <c r="C57" s="1" t="s">
        <v>239</v>
      </c>
      <c r="D57" s="1" t="s">
        <v>240</v>
      </c>
      <c r="E57" s="1" t="s">
        <v>172</v>
      </c>
      <c r="F57" s="12">
        <v>17</v>
      </c>
      <c r="G57" s="47" t="s">
        <v>409</v>
      </c>
      <c r="H57" s="1" t="s">
        <v>64</v>
      </c>
      <c r="I57" s="1" t="s">
        <v>100</v>
      </c>
      <c r="J57" s="1" t="s">
        <v>502</v>
      </c>
      <c r="K57" s="57" t="s">
        <v>102</v>
      </c>
    </row>
    <row r="58" spans="1:11" x14ac:dyDescent="0.25">
      <c r="A58" s="52">
        <v>28</v>
      </c>
      <c r="B58" s="6" t="s">
        <v>48</v>
      </c>
      <c r="C58" s="6" t="s">
        <v>241</v>
      </c>
      <c r="D58" s="6" t="s">
        <v>242</v>
      </c>
      <c r="E58" s="6" t="s">
        <v>171</v>
      </c>
      <c r="F58" s="11">
        <v>18</v>
      </c>
      <c r="G58" s="46" t="s">
        <v>410</v>
      </c>
      <c r="H58" s="6" t="s">
        <v>64</v>
      </c>
      <c r="I58" s="6" t="s">
        <v>106</v>
      </c>
      <c r="J58" s="6" t="s">
        <v>503</v>
      </c>
      <c r="K58" s="53" t="s">
        <v>108</v>
      </c>
    </row>
    <row r="59" spans="1:11" x14ac:dyDescent="0.25">
      <c r="A59" s="54">
        <v>29</v>
      </c>
      <c r="B59" s="24" t="s">
        <v>44</v>
      </c>
      <c r="C59" s="1" t="s">
        <v>243</v>
      </c>
      <c r="D59" s="1" t="s">
        <v>244</v>
      </c>
      <c r="E59" s="24" t="s">
        <v>172</v>
      </c>
      <c r="F59" s="12">
        <v>16</v>
      </c>
      <c r="G59" s="47" t="s">
        <v>411</v>
      </c>
      <c r="H59" s="24" t="s">
        <v>64</v>
      </c>
      <c r="I59" s="24" t="s">
        <v>110</v>
      </c>
      <c r="J59" s="24" t="s">
        <v>504</v>
      </c>
      <c r="K59" s="55" t="s">
        <v>112</v>
      </c>
    </row>
    <row r="60" spans="1:11" x14ac:dyDescent="0.25">
      <c r="A60" s="52">
        <v>30</v>
      </c>
      <c r="B60" s="6" t="s">
        <v>44</v>
      </c>
      <c r="C60" s="6" t="s">
        <v>245</v>
      </c>
      <c r="D60" s="6" t="s">
        <v>246</v>
      </c>
      <c r="E60" s="6" t="s">
        <v>172</v>
      </c>
      <c r="F60" s="11">
        <v>26</v>
      </c>
      <c r="G60" s="46" t="s">
        <v>412</v>
      </c>
      <c r="H60" s="6" t="s">
        <v>64</v>
      </c>
      <c r="I60" s="6" t="s">
        <v>110</v>
      </c>
      <c r="J60" s="6" t="s">
        <v>505</v>
      </c>
      <c r="K60" s="53" t="s">
        <v>112</v>
      </c>
    </row>
    <row r="61" spans="1:11" x14ac:dyDescent="0.25">
      <c r="A61" s="50">
        <v>31</v>
      </c>
      <c r="B61" s="2" t="s">
        <v>48</v>
      </c>
      <c r="C61" s="1" t="s">
        <v>247</v>
      </c>
      <c r="D61" s="1" t="s">
        <v>248</v>
      </c>
      <c r="E61" s="2" t="s">
        <v>171</v>
      </c>
      <c r="F61" s="12">
        <v>24</v>
      </c>
      <c r="G61" s="47" t="s">
        <v>413</v>
      </c>
      <c r="H61" s="2" t="s">
        <v>64</v>
      </c>
      <c r="I61" s="2" t="s">
        <v>65</v>
      </c>
      <c r="J61" s="2" t="s">
        <v>506</v>
      </c>
      <c r="K61" s="51" t="s">
        <v>67</v>
      </c>
    </row>
    <row r="62" spans="1:11" x14ac:dyDescent="0.25">
      <c r="A62" s="52">
        <v>32</v>
      </c>
      <c r="B62" s="6" t="s">
        <v>44</v>
      </c>
      <c r="C62" s="6" t="s">
        <v>249</v>
      </c>
      <c r="D62" s="6" t="s">
        <v>250</v>
      </c>
      <c r="E62" s="6" t="s">
        <v>172</v>
      </c>
      <c r="F62" s="11">
        <v>27</v>
      </c>
      <c r="G62" s="46" t="s">
        <v>414</v>
      </c>
      <c r="H62" s="6" t="s">
        <v>64</v>
      </c>
      <c r="I62" s="6" t="s">
        <v>69</v>
      </c>
      <c r="J62" s="6" t="s">
        <v>507</v>
      </c>
      <c r="K62" s="53" t="s">
        <v>71</v>
      </c>
    </row>
    <row r="63" spans="1:11" x14ac:dyDescent="0.25">
      <c r="A63" s="54">
        <v>33</v>
      </c>
      <c r="B63" s="24" t="s">
        <v>44</v>
      </c>
      <c r="C63" s="1" t="s">
        <v>251</v>
      </c>
      <c r="D63" s="1" t="s">
        <v>252</v>
      </c>
      <c r="E63" s="24" t="s">
        <v>172</v>
      </c>
      <c r="F63" s="12">
        <v>26</v>
      </c>
      <c r="G63" s="47" t="s">
        <v>415</v>
      </c>
      <c r="H63" s="24" t="s">
        <v>64</v>
      </c>
      <c r="I63" s="24" t="s">
        <v>75</v>
      </c>
      <c r="J63" s="24" t="s">
        <v>508</v>
      </c>
      <c r="K63" s="55" t="s">
        <v>77</v>
      </c>
    </row>
    <row r="64" spans="1:11" x14ac:dyDescent="0.25">
      <c r="A64" s="52">
        <v>34</v>
      </c>
      <c r="B64" s="6" t="s">
        <v>78</v>
      </c>
      <c r="C64" s="6" t="s">
        <v>253</v>
      </c>
      <c r="D64" s="6" t="s">
        <v>254</v>
      </c>
      <c r="E64" s="6" t="s">
        <v>172</v>
      </c>
      <c r="F64" s="11">
        <v>25</v>
      </c>
      <c r="G64" s="46" t="s">
        <v>416</v>
      </c>
      <c r="H64" s="6" t="s">
        <v>64</v>
      </c>
      <c r="I64" s="6" t="s">
        <v>82</v>
      </c>
      <c r="J64" s="6" t="s">
        <v>509</v>
      </c>
      <c r="K64" s="53" t="s">
        <v>84</v>
      </c>
    </row>
    <row r="65" spans="1:11" x14ac:dyDescent="0.25">
      <c r="A65" s="54">
        <v>35</v>
      </c>
      <c r="B65" s="24" t="s">
        <v>78</v>
      </c>
      <c r="C65" s="1" t="s">
        <v>255</v>
      </c>
      <c r="D65" s="1" t="s">
        <v>256</v>
      </c>
      <c r="E65" s="24" t="s">
        <v>171</v>
      </c>
      <c r="F65" s="33">
        <v>11</v>
      </c>
      <c r="G65" s="47" t="s">
        <v>417</v>
      </c>
      <c r="H65" s="24" t="s">
        <v>64</v>
      </c>
      <c r="I65" s="24" t="s">
        <v>88</v>
      </c>
      <c r="J65" s="24" t="s">
        <v>510</v>
      </c>
      <c r="K65" s="55" t="s">
        <v>90</v>
      </c>
    </row>
    <row r="66" spans="1:11" x14ac:dyDescent="0.25">
      <c r="A66" s="52">
        <v>36</v>
      </c>
      <c r="B66" s="6" t="s">
        <v>48</v>
      </c>
      <c r="C66" s="6" t="s">
        <v>257</v>
      </c>
      <c r="D66" s="6" t="s">
        <v>258</v>
      </c>
      <c r="E66" s="6" t="s">
        <v>171</v>
      </c>
      <c r="F66" s="11">
        <v>27</v>
      </c>
      <c r="G66" s="46" t="s">
        <v>418</v>
      </c>
      <c r="H66" s="6" t="s">
        <v>64</v>
      </c>
      <c r="I66" s="6" t="s">
        <v>94</v>
      </c>
      <c r="J66" s="6" t="s">
        <v>511</v>
      </c>
      <c r="K66" s="53" t="s">
        <v>96</v>
      </c>
    </row>
    <row r="67" spans="1:11" x14ac:dyDescent="0.25">
      <c r="A67" s="56">
        <v>37</v>
      </c>
      <c r="B67" s="1" t="s">
        <v>44</v>
      </c>
      <c r="C67" s="1" t="s">
        <v>259</v>
      </c>
      <c r="D67" s="1" t="s">
        <v>260</v>
      </c>
      <c r="E67" s="1" t="s">
        <v>172</v>
      </c>
      <c r="F67" s="58">
        <v>30</v>
      </c>
      <c r="G67" s="47" t="s">
        <v>419</v>
      </c>
      <c r="H67" s="1" t="s">
        <v>64</v>
      </c>
      <c r="I67" s="1" t="s">
        <v>100</v>
      </c>
      <c r="J67" s="1" t="s">
        <v>512</v>
      </c>
      <c r="K67" s="57" t="s">
        <v>102</v>
      </c>
    </row>
    <row r="68" spans="1:11" x14ac:dyDescent="0.25">
      <c r="A68" s="52">
        <v>38</v>
      </c>
      <c r="B68" s="6" t="s">
        <v>48</v>
      </c>
      <c r="C68" s="6" t="s">
        <v>261</v>
      </c>
      <c r="D68" s="6" t="s">
        <v>262</v>
      </c>
      <c r="E68" s="6" t="s">
        <v>171</v>
      </c>
      <c r="F68" s="11">
        <v>23</v>
      </c>
      <c r="G68" s="46" t="s">
        <v>420</v>
      </c>
      <c r="H68" s="6" t="s">
        <v>64</v>
      </c>
      <c r="I68" s="6" t="s">
        <v>106</v>
      </c>
      <c r="J68" s="6" t="s">
        <v>513</v>
      </c>
      <c r="K68" s="53" t="s">
        <v>108</v>
      </c>
    </row>
    <row r="69" spans="1:11" x14ac:dyDescent="0.25">
      <c r="A69" s="54">
        <v>39</v>
      </c>
      <c r="B69" s="24" t="s">
        <v>44</v>
      </c>
      <c r="C69" s="1" t="s">
        <v>263</v>
      </c>
      <c r="D69" s="1" t="s">
        <v>264</v>
      </c>
      <c r="E69" s="24" t="s">
        <v>172</v>
      </c>
      <c r="F69" s="58">
        <v>32</v>
      </c>
      <c r="G69" s="47" t="s">
        <v>421</v>
      </c>
      <c r="H69" s="24" t="s">
        <v>64</v>
      </c>
      <c r="I69" s="24" t="s">
        <v>110</v>
      </c>
      <c r="J69" s="24" t="s">
        <v>514</v>
      </c>
      <c r="K69" s="55" t="s">
        <v>112</v>
      </c>
    </row>
    <row r="70" spans="1:11" x14ac:dyDescent="0.25">
      <c r="A70" s="52">
        <v>40</v>
      </c>
      <c r="B70" s="6" t="s">
        <v>44</v>
      </c>
      <c r="C70" s="6" t="s">
        <v>265</v>
      </c>
      <c r="D70" s="6" t="s">
        <v>266</v>
      </c>
      <c r="E70" s="6" t="s">
        <v>172</v>
      </c>
      <c r="F70" s="11">
        <v>20</v>
      </c>
      <c r="G70" s="46" t="s">
        <v>422</v>
      </c>
      <c r="H70" s="6" t="s">
        <v>64</v>
      </c>
      <c r="I70" s="6" t="s">
        <v>110</v>
      </c>
      <c r="J70" s="6" t="s">
        <v>515</v>
      </c>
      <c r="K70" s="53" t="s">
        <v>112</v>
      </c>
    </row>
    <row r="71" spans="1:11" x14ac:dyDescent="0.25">
      <c r="A71" s="50">
        <v>41</v>
      </c>
      <c r="B71" s="2" t="s">
        <v>48</v>
      </c>
      <c r="C71" s="1" t="s">
        <v>267</v>
      </c>
      <c r="D71" s="1" t="s">
        <v>268</v>
      </c>
      <c r="E71" s="2" t="s">
        <v>171</v>
      </c>
      <c r="F71" s="12">
        <v>15</v>
      </c>
      <c r="G71" s="47" t="s">
        <v>423</v>
      </c>
      <c r="H71" s="2" t="s">
        <v>64</v>
      </c>
      <c r="I71" s="2" t="s">
        <v>65</v>
      </c>
      <c r="J71" s="2" t="s">
        <v>516</v>
      </c>
      <c r="K71" s="51" t="s">
        <v>67</v>
      </c>
    </row>
    <row r="72" spans="1:11" x14ac:dyDescent="0.25">
      <c r="A72" s="52">
        <v>42</v>
      </c>
      <c r="B72" s="6" t="s">
        <v>44</v>
      </c>
      <c r="C72" s="6" t="s">
        <v>269</v>
      </c>
      <c r="D72" s="6" t="s">
        <v>270</v>
      </c>
      <c r="E72" s="6" t="s">
        <v>172</v>
      </c>
      <c r="F72" s="11">
        <v>15</v>
      </c>
      <c r="G72" s="46" t="s">
        <v>424</v>
      </c>
      <c r="H72" s="6" t="s">
        <v>64</v>
      </c>
      <c r="I72" s="6" t="s">
        <v>69</v>
      </c>
      <c r="J72" s="6" t="s">
        <v>517</v>
      </c>
      <c r="K72" s="53" t="s">
        <v>71</v>
      </c>
    </row>
    <row r="73" spans="1:11" x14ac:dyDescent="0.25">
      <c r="A73" s="54">
        <v>43</v>
      </c>
      <c r="B73" s="24" t="s">
        <v>44</v>
      </c>
      <c r="C73" s="1" t="s">
        <v>271</v>
      </c>
      <c r="D73" s="1" t="s">
        <v>272</v>
      </c>
      <c r="E73" s="24" t="s">
        <v>172</v>
      </c>
      <c r="F73" s="58">
        <v>18</v>
      </c>
      <c r="G73" s="47" t="s">
        <v>425</v>
      </c>
      <c r="H73" s="24" t="s">
        <v>64</v>
      </c>
      <c r="I73" s="24" t="s">
        <v>75</v>
      </c>
      <c r="J73" s="24" t="s">
        <v>518</v>
      </c>
      <c r="K73" s="55" t="s">
        <v>77</v>
      </c>
    </row>
    <row r="74" spans="1:11" x14ac:dyDescent="0.25">
      <c r="A74" s="52">
        <v>44</v>
      </c>
      <c r="B74" s="6" t="s">
        <v>78</v>
      </c>
      <c r="C74" s="6" t="s">
        <v>273</v>
      </c>
      <c r="D74" s="6" t="s">
        <v>274</v>
      </c>
      <c r="E74" s="6" t="s">
        <v>172</v>
      </c>
      <c r="F74" s="11">
        <v>15</v>
      </c>
      <c r="G74" s="46" t="s">
        <v>426</v>
      </c>
      <c r="H74" s="6" t="s">
        <v>64</v>
      </c>
      <c r="I74" s="6" t="s">
        <v>82</v>
      </c>
      <c r="J74" s="6" t="s">
        <v>519</v>
      </c>
      <c r="K74" s="53" t="s">
        <v>84</v>
      </c>
    </row>
    <row r="75" spans="1:11" x14ac:dyDescent="0.25">
      <c r="A75" s="54">
        <v>45</v>
      </c>
      <c r="B75" s="24" t="s">
        <v>78</v>
      </c>
      <c r="C75" s="1" t="s">
        <v>275</v>
      </c>
      <c r="D75" s="1" t="s">
        <v>276</v>
      </c>
      <c r="E75" s="24" t="s">
        <v>171</v>
      </c>
      <c r="F75" s="12">
        <v>15</v>
      </c>
      <c r="G75" s="47" t="s">
        <v>427</v>
      </c>
      <c r="H75" s="24" t="s">
        <v>64</v>
      </c>
      <c r="I75" s="24" t="s">
        <v>88</v>
      </c>
      <c r="J75" s="24" t="s">
        <v>520</v>
      </c>
      <c r="K75" s="55" t="s">
        <v>90</v>
      </c>
    </row>
    <row r="76" spans="1:11" x14ac:dyDescent="0.25">
      <c r="A76" s="52">
        <v>46</v>
      </c>
      <c r="B76" s="6" t="s">
        <v>48</v>
      </c>
      <c r="C76" s="6" t="s">
        <v>277</v>
      </c>
      <c r="D76" s="6" t="s">
        <v>278</v>
      </c>
      <c r="E76" s="6" t="s">
        <v>171</v>
      </c>
      <c r="F76" s="11">
        <v>18</v>
      </c>
      <c r="G76" s="46" t="s">
        <v>428</v>
      </c>
      <c r="H76" s="6" t="s">
        <v>64</v>
      </c>
      <c r="I76" s="6" t="s">
        <v>94</v>
      </c>
      <c r="J76" s="6" t="s">
        <v>521</v>
      </c>
      <c r="K76" s="53" t="s">
        <v>96</v>
      </c>
    </row>
    <row r="77" spans="1:11" x14ac:dyDescent="0.25">
      <c r="A77" s="56">
        <v>47</v>
      </c>
      <c r="B77" s="1" t="s">
        <v>44</v>
      </c>
      <c r="C77" s="1" t="s">
        <v>279</v>
      </c>
      <c r="D77" s="1" t="s">
        <v>280</v>
      </c>
      <c r="E77" s="1" t="s">
        <v>172</v>
      </c>
      <c r="F77" s="12">
        <v>19</v>
      </c>
      <c r="G77" s="47" t="s">
        <v>429</v>
      </c>
      <c r="H77" s="1" t="s">
        <v>64</v>
      </c>
      <c r="I77" s="1" t="s">
        <v>100</v>
      </c>
      <c r="J77" s="1" t="s">
        <v>522</v>
      </c>
      <c r="K77" s="57" t="s">
        <v>102</v>
      </c>
    </row>
    <row r="78" spans="1:11" x14ac:dyDescent="0.25">
      <c r="A78" s="52">
        <v>48</v>
      </c>
      <c r="B78" s="6" t="s">
        <v>48</v>
      </c>
      <c r="C78" s="6" t="s">
        <v>281</v>
      </c>
      <c r="D78" s="6" t="s">
        <v>282</v>
      </c>
      <c r="E78" s="6" t="s">
        <v>171</v>
      </c>
      <c r="F78" s="11">
        <v>25</v>
      </c>
      <c r="G78" s="46" t="s">
        <v>430</v>
      </c>
      <c r="H78" s="6" t="s">
        <v>64</v>
      </c>
      <c r="I78" s="6" t="s">
        <v>106</v>
      </c>
      <c r="J78" s="6" t="s">
        <v>523</v>
      </c>
      <c r="K78" s="53" t="s">
        <v>108</v>
      </c>
    </row>
    <row r="79" spans="1:11" x14ac:dyDescent="0.25">
      <c r="A79" s="54">
        <v>49</v>
      </c>
      <c r="B79" s="24" t="s">
        <v>44</v>
      </c>
      <c r="C79" s="1" t="s">
        <v>283</v>
      </c>
      <c r="D79" s="1" t="s">
        <v>284</v>
      </c>
      <c r="E79" s="24" t="s">
        <v>172</v>
      </c>
      <c r="F79" s="12">
        <v>21</v>
      </c>
      <c r="G79" s="47" t="s">
        <v>431</v>
      </c>
      <c r="H79" s="24" t="s">
        <v>64</v>
      </c>
      <c r="I79" s="24" t="s">
        <v>110</v>
      </c>
      <c r="J79" s="24" t="s">
        <v>524</v>
      </c>
      <c r="K79" s="55" t="s">
        <v>112</v>
      </c>
    </row>
    <row r="80" spans="1:11" x14ac:dyDescent="0.25">
      <c r="A80" s="52">
        <v>50</v>
      </c>
      <c r="B80" s="6" t="s">
        <v>44</v>
      </c>
      <c r="C80" s="6" t="s">
        <v>285</v>
      </c>
      <c r="D80" s="6" t="s">
        <v>286</v>
      </c>
      <c r="E80" s="6" t="s">
        <v>172</v>
      </c>
      <c r="F80" s="11">
        <v>56</v>
      </c>
      <c r="G80" s="46" t="s">
        <v>432</v>
      </c>
      <c r="H80" s="6" t="s">
        <v>64</v>
      </c>
      <c r="I80" s="6" t="s">
        <v>110</v>
      </c>
      <c r="J80" s="6" t="s">
        <v>525</v>
      </c>
      <c r="K80" s="53" t="s">
        <v>112</v>
      </c>
    </row>
    <row r="81" spans="1:11" x14ac:dyDescent="0.25">
      <c r="A81" s="50">
        <v>51</v>
      </c>
      <c r="B81" s="2" t="s">
        <v>48</v>
      </c>
      <c r="C81" s="1" t="s">
        <v>287</v>
      </c>
      <c r="D81" s="1" t="s">
        <v>288</v>
      </c>
      <c r="E81" s="2" t="s">
        <v>171</v>
      </c>
      <c r="F81" s="12">
        <v>45</v>
      </c>
      <c r="G81" s="47" t="s">
        <v>433</v>
      </c>
      <c r="H81" s="2" t="s">
        <v>64</v>
      </c>
      <c r="I81" s="2" t="s">
        <v>65</v>
      </c>
      <c r="J81" s="2" t="s">
        <v>526</v>
      </c>
      <c r="K81" s="51" t="s">
        <v>67</v>
      </c>
    </row>
    <row r="82" spans="1:11" x14ac:dyDescent="0.25">
      <c r="A82" s="52">
        <v>52</v>
      </c>
      <c r="B82" s="6" t="s">
        <v>44</v>
      </c>
      <c r="C82" s="6" t="s">
        <v>289</v>
      </c>
      <c r="D82" s="6" t="s">
        <v>290</v>
      </c>
      <c r="E82" s="6" t="s">
        <v>172</v>
      </c>
      <c r="F82" s="11">
        <v>32</v>
      </c>
      <c r="G82" s="46" t="s">
        <v>434</v>
      </c>
      <c r="H82" s="6" t="s">
        <v>64</v>
      </c>
      <c r="I82" s="6" t="s">
        <v>69</v>
      </c>
      <c r="J82" s="6" t="s">
        <v>527</v>
      </c>
      <c r="K82" s="53" t="s">
        <v>71</v>
      </c>
    </row>
    <row r="83" spans="1:11" x14ac:dyDescent="0.25">
      <c r="A83" s="54">
        <v>53</v>
      </c>
      <c r="B83" s="24" t="s">
        <v>44</v>
      </c>
      <c r="C83" s="1" t="s">
        <v>291</v>
      </c>
      <c r="D83" s="1" t="s">
        <v>292</v>
      </c>
      <c r="E83" s="24" t="s">
        <v>172</v>
      </c>
      <c r="F83" s="12">
        <v>57</v>
      </c>
      <c r="G83" s="47" t="s">
        <v>435</v>
      </c>
      <c r="H83" s="24" t="s">
        <v>64</v>
      </c>
      <c r="I83" s="24" t="s">
        <v>75</v>
      </c>
      <c r="J83" s="24" t="s">
        <v>528</v>
      </c>
      <c r="K83" s="55" t="s">
        <v>77</v>
      </c>
    </row>
    <row r="84" spans="1:11" x14ac:dyDescent="0.25">
      <c r="A84" s="52">
        <v>54</v>
      </c>
      <c r="B84" s="6" t="s">
        <v>78</v>
      </c>
      <c r="C84" s="6" t="s">
        <v>293</v>
      </c>
      <c r="D84" s="6" t="s">
        <v>294</v>
      </c>
      <c r="E84" s="6" t="s">
        <v>172</v>
      </c>
      <c r="F84" s="11">
        <v>78</v>
      </c>
      <c r="G84" s="46" t="s">
        <v>436</v>
      </c>
      <c r="H84" s="6" t="s">
        <v>64</v>
      </c>
      <c r="I84" s="6" t="s">
        <v>82</v>
      </c>
      <c r="J84" s="6" t="s">
        <v>529</v>
      </c>
      <c r="K84" s="53" t="s">
        <v>84</v>
      </c>
    </row>
    <row r="85" spans="1:11" x14ac:dyDescent="0.25">
      <c r="A85" s="54">
        <v>55</v>
      </c>
      <c r="B85" s="24" t="s">
        <v>78</v>
      </c>
      <c r="C85" s="1" t="s">
        <v>295</v>
      </c>
      <c r="D85" s="1" t="s">
        <v>296</v>
      </c>
      <c r="E85" s="24" t="s">
        <v>171</v>
      </c>
      <c r="F85" s="12">
        <v>75</v>
      </c>
      <c r="G85" s="47" t="s">
        <v>437</v>
      </c>
      <c r="H85" s="24" t="s">
        <v>64</v>
      </c>
      <c r="I85" s="24" t="s">
        <v>88</v>
      </c>
      <c r="J85" s="24" t="s">
        <v>530</v>
      </c>
      <c r="K85" s="55" t="s">
        <v>90</v>
      </c>
    </row>
    <row r="86" spans="1:11" x14ac:dyDescent="0.25">
      <c r="A86" s="52">
        <v>56</v>
      </c>
      <c r="B86" s="6" t="s">
        <v>48</v>
      </c>
      <c r="C86" s="6" t="s">
        <v>297</v>
      </c>
      <c r="D86" s="6" t="s">
        <v>298</v>
      </c>
      <c r="E86" s="6" t="s">
        <v>171</v>
      </c>
      <c r="F86" s="11">
        <v>68</v>
      </c>
      <c r="G86" s="46" t="s">
        <v>438</v>
      </c>
      <c r="H86" s="6" t="s">
        <v>64</v>
      </c>
      <c r="I86" s="6" t="s">
        <v>94</v>
      </c>
      <c r="J86" s="6" t="s">
        <v>531</v>
      </c>
      <c r="K86" s="53" t="s">
        <v>96</v>
      </c>
    </row>
    <row r="87" spans="1:11" x14ac:dyDescent="0.25">
      <c r="A87" s="56">
        <v>57</v>
      </c>
      <c r="B87" s="1" t="s">
        <v>44</v>
      </c>
      <c r="C87" s="1" t="s">
        <v>299</v>
      </c>
      <c r="D87" s="1" t="s">
        <v>300</v>
      </c>
      <c r="E87" s="1" t="s">
        <v>172</v>
      </c>
      <c r="F87" s="12">
        <v>25</v>
      </c>
      <c r="G87" s="47" t="s">
        <v>439</v>
      </c>
      <c r="H87" s="1" t="s">
        <v>64</v>
      </c>
      <c r="I87" s="1" t="s">
        <v>100</v>
      </c>
      <c r="J87" s="1" t="s">
        <v>532</v>
      </c>
      <c r="K87" s="57" t="s">
        <v>102</v>
      </c>
    </row>
    <row r="88" spans="1:11" x14ac:dyDescent="0.25">
      <c r="A88" s="52">
        <v>58</v>
      </c>
      <c r="B88" s="6" t="s">
        <v>48</v>
      </c>
      <c r="C88" s="6" t="s">
        <v>301</v>
      </c>
      <c r="D88" s="6" t="s">
        <v>302</v>
      </c>
      <c r="E88" s="6" t="s">
        <v>171</v>
      </c>
      <c r="F88" s="11">
        <v>21</v>
      </c>
      <c r="G88" s="46" t="s">
        <v>440</v>
      </c>
      <c r="H88" s="6" t="s">
        <v>64</v>
      </c>
      <c r="I88" s="6" t="s">
        <v>106</v>
      </c>
      <c r="J88" s="6" t="s">
        <v>533</v>
      </c>
      <c r="K88" s="53" t="s">
        <v>108</v>
      </c>
    </row>
    <row r="89" spans="1:11" x14ac:dyDescent="0.25">
      <c r="A89" s="54">
        <v>59</v>
      </c>
      <c r="B89" s="24" t="s">
        <v>44</v>
      </c>
      <c r="C89" s="1" t="s">
        <v>303</v>
      </c>
      <c r="D89" s="1" t="s">
        <v>304</v>
      </c>
      <c r="E89" s="24" t="s">
        <v>172</v>
      </c>
      <c r="F89" s="12">
        <v>20</v>
      </c>
      <c r="G89" s="47" t="s">
        <v>441</v>
      </c>
      <c r="H89" s="24" t="s">
        <v>64</v>
      </c>
      <c r="I89" s="24" t="s">
        <v>110</v>
      </c>
      <c r="J89" s="24" t="s">
        <v>534</v>
      </c>
      <c r="K89" s="55" t="s">
        <v>112</v>
      </c>
    </row>
    <row r="90" spans="1:11" x14ac:dyDescent="0.25">
      <c r="A90" s="52">
        <v>60</v>
      </c>
      <c r="B90" s="6" t="s">
        <v>44</v>
      </c>
      <c r="C90" s="6" t="s">
        <v>305</v>
      </c>
      <c r="D90" s="6" t="s">
        <v>306</v>
      </c>
      <c r="E90" s="6" t="s">
        <v>172</v>
      </c>
      <c r="F90" s="11">
        <v>19</v>
      </c>
      <c r="G90" s="46" t="s">
        <v>442</v>
      </c>
      <c r="H90" s="6" t="s">
        <v>64</v>
      </c>
      <c r="I90" s="6" t="s">
        <v>110</v>
      </c>
      <c r="J90" s="6" t="s">
        <v>535</v>
      </c>
      <c r="K90" s="53" t="s">
        <v>112</v>
      </c>
    </row>
    <row r="91" spans="1:11" x14ac:dyDescent="0.25">
      <c r="A91" s="50">
        <v>61</v>
      </c>
      <c r="B91" s="2" t="s">
        <v>48</v>
      </c>
      <c r="C91" s="1" t="s">
        <v>307</v>
      </c>
      <c r="D91" s="1" t="s">
        <v>308</v>
      </c>
      <c r="E91" s="2" t="s">
        <v>171</v>
      </c>
      <c r="F91" s="12">
        <v>17</v>
      </c>
      <c r="G91" s="47" t="s">
        <v>443</v>
      </c>
      <c r="H91" s="2" t="s">
        <v>64</v>
      </c>
      <c r="I91" s="2" t="s">
        <v>65</v>
      </c>
      <c r="J91" s="2" t="s">
        <v>536</v>
      </c>
      <c r="K91" s="51" t="s">
        <v>67</v>
      </c>
    </row>
    <row r="92" spans="1:11" x14ac:dyDescent="0.25">
      <c r="A92" s="52">
        <v>62</v>
      </c>
      <c r="B92" s="6" t="s">
        <v>44</v>
      </c>
      <c r="C92" s="6" t="s">
        <v>309</v>
      </c>
      <c r="D92" s="6" t="s">
        <v>310</v>
      </c>
      <c r="E92" s="6" t="s">
        <v>172</v>
      </c>
      <c r="F92" s="11">
        <v>18</v>
      </c>
      <c r="G92" s="46" t="s">
        <v>444</v>
      </c>
      <c r="H92" s="6" t="s">
        <v>64</v>
      </c>
      <c r="I92" s="6" t="s">
        <v>69</v>
      </c>
      <c r="J92" s="6" t="s">
        <v>537</v>
      </c>
      <c r="K92" s="53" t="s">
        <v>71</v>
      </c>
    </row>
    <row r="93" spans="1:11" x14ac:dyDescent="0.25">
      <c r="A93" s="54">
        <v>63</v>
      </c>
      <c r="B93" s="24" t="s">
        <v>44</v>
      </c>
      <c r="C93" s="1" t="s">
        <v>311</v>
      </c>
      <c r="D93" s="1" t="s">
        <v>312</v>
      </c>
      <c r="E93" s="24" t="s">
        <v>172</v>
      </c>
      <c r="F93" s="12">
        <v>16</v>
      </c>
      <c r="G93" s="47" t="s">
        <v>445</v>
      </c>
      <c r="H93" s="24" t="s">
        <v>64</v>
      </c>
      <c r="I93" s="24" t="s">
        <v>75</v>
      </c>
      <c r="J93" s="24" t="s">
        <v>538</v>
      </c>
      <c r="K93" s="55" t="s">
        <v>77</v>
      </c>
    </row>
    <row r="94" spans="1:11" x14ac:dyDescent="0.25">
      <c r="A94" s="52">
        <v>64</v>
      </c>
      <c r="B94" s="6" t="s">
        <v>78</v>
      </c>
      <c r="C94" s="6" t="s">
        <v>313</v>
      </c>
      <c r="D94" s="6" t="s">
        <v>314</v>
      </c>
      <c r="E94" s="6" t="s">
        <v>172</v>
      </c>
      <c r="F94" s="11">
        <v>26</v>
      </c>
      <c r="G94" s="46" t="s">
        <v>446</v>
      </c>
      <c r="H94" s="6" t="s">
        <v>64</v>
      </c>
      <c r="I94" s="6" t="s">
        <v>82</v>
      </c>
      <c r="J94" s="6" t="s">
        <v>539</v>
      </c>
      <c r="K94" s="53" t="s">
        <v>84</v>
      </c>
    </row>
    <row r="95" spans="1:11" x14ac:dyDescent="0.25">
      <c r="A95" s="54">
        <v>65</v>
      </c>
      <c r="B95" s="24" t="s">
        <v>78</v>
      </c>
      <c r="C95" s="1" t="s">
        <v>315</v>
      </c>
      <c r="D95" s="1" t="s">
        <v>316</v>
      </c>
      <c r="E95" s="24" t="s">
        <v>171</v>
      </c>
      <c r="F95" s="12">
        <v>24</v>
      </c>
      <c r="G95" s="47" t="s">
        <v>447</v>
      </c>
      <c r="H95" s="24" t="s">
        <v>64</v>
      </c>
      <c r="I95" s="24" t="s">
        <v>88</v>
      </c>
      <c r="J95" s="24" t="s">
        <v>540</v>
      </c>
      <c r="K95" s="55" t="s">
        <v>90</v>
      </c>
    </row>
    <row r="96" spans="1:11" x14ac:dyDescent="0.25">
      <c r="A96" s="52">
        <v>66</v>
      </c>
      <c r="B96" s="6" t="s">
        <v>48</v>
      </c>
      <c r="C96" s="6" t="s">
        <v>317</v>
      </c>
      <c r="D96" s="6" t="s">
        <v>318</v>
      </c>
      <c r="E96" s="6" t="s">
        <v>171</v>
      </c>
      <c r="F96" s="11">
        <v>27</v>
      </c>
      <c r="G96" s="46" t="s">
        <v>448</v>
      </c>
      <c r="H96" s="6" t="s">
        <v>64</v>
      </c>
      <c r="I96" s="6" t="s">
        <v>94</v>
      </c>
      <c r="J96" s="6" t="s">
        <v>541</v>
      </c>
      <c r="K96" s="53" t="s">
        <v>96</v>
      </c>
    </row>
    <row r="97" spans="1:11" x14ac:dyDescent="0.25">
      <c r="A97" s="56">
        <v>67</v>
      </c>
      <c r="B97" s="1" t="s">
        <v>44</v>
      </c>
      <c r="C97" s="1" t="s">
        <v>319</v>
      </c>
      <c r="D97" s="1" t="s">
        <v>320</v>
      </c>
      <c r="E97" s="1" t="s">
        <v>172</v>
      </c>
      <c r="F97" s="12">
        <v>26</v>
      </c>
      <c r="G97" s="47" t="s">
        <v>449</v>
      </c>
      <c r="H97" s="1" t="s">
        <v>64</v>
      </c>
      <c r="I97" s="1" t="s">
        <v>100</v>
      </c>
      <c r="J97" s="1" t="s">
        <v>542</v>
      </c>
      <c r="K97" s="57" t="s">
        <v>102</v>
      </c>
    </row>
    <row r="98" spans="1:11" x14ac:dyDescent="0.25">
      <c r="A98" s="52">
        <v>68</v>
      </c>
      <c r="B98" s="6" t="s">
        <v>48</v>
      </c>
      <c r="C98" s="6" t="s">
        <v>321</v>
      </c>
      <c r="D98" s="6" t="s">
        <v>322</v>
      </c>
      <c r="E98" s="6" t="s">
        <v>171</v>
      </c>
      <c r="F98" s="11">
        <v>25</v>
      </c>
      <c r="G98" s="46" t="s">
        <v>450</v>
      </c>
      <c r="H98" s="6" t="s">
        <v>64</v>
      </c>
      <c r="I98" s="6" t="s">
        <v>106</v>
      </c>
      <c r="J98" s="6" t="s">
        <v>543</v>
      </c>
      <c r="K98" s="53" t="s">
        <v>108</v>
      </c>
    </row>
    <row r="99" spans="1:11" x14ac:dyDescent="0.25">
      <c r="A99" s="54">
        <v>69</v>
      </c>
      <c r="B99" s="24" t="s">
        <v>44</v>
      </c>
      <c r="C99" s="1" t="s">
        <v>323</v>
      </c>
      <c r="D99" s="1" t="s">
        <v>324</v>
      </c>
      <c r="E99" s="24" t="s">
        <v>172</v>
      </c>
      <c r="F99" s="33">
        <v>11</v>
      </c>
      <c r="G99" s="47" t="s">
        <v>451</v>
      </c>
      <c r="H99" s="24" t="s">
        <v>64</v>
      </c>
      <c r="I99" s="24" t="s">
        <v>110</v>
      </c>
      <c r="J99" s="24" t="s">
        <v>544</v>
      </c>
      <c r="K99" s="55" t="s">
        <v>112</v>
      </c>
    </row>
    <row r="100" spans="1:11" x14ac:dyDescent="0.25">
      <c r="A100" s="52">
        <v>70</v>
      </c>
      <c r="B100" s="6" t="s">
        <v>44</v>
      </c>
      <c r="C100" s="6" t="s">
        <v>325</v>
      </c>
      <c r="D100" s="6" t="s">
        <v>326</v>
      </c>
      <c r="E100" s="6" t="s">
        <v>172</v>
      </c>
      <c r="F100" s="11">
        <v>27</v>
      </c>
      <c r="G100" s="46" t="s">
        <v>452</v>
      </c>
      <c r="H100" s="6" t="s">
        <v>64</v>
      </c>
      <c r="I100" s="6" t="s">
        <v>110</v>
      </c>
      <c r="J100" s="6" t="s">
        <v>545</v>
      </c>
      <c r="K100" s="53" t="s">
        <v>112</v>
      </c>
    </row>
    <row r="101" spans="1:11" x14ac:dyDescent="0.25">
      <c r="A101" s="50">
        <v>71</v>
      </c>
      <c r="B101" s="2" t="s">
        <v>48</v>
      </c>
      <c r="C101" s="1" t="s">
        <v>327</v>
      </c>
      <c r="D101" s="1" t="s">
        <v>328</v>
      </c>
      <c r="E101" s="2" t="s">
        <v>171</v>
      </c>
      <c r="F101" s="58">
        <v>21</v>
      </c>
      <c r="G101" s="47" t="s">
        <v>453</v>
      </c>
      <c r="H101" s="2" t="s">
        <v>64</v>
      </c>
      <c r="I101" s="2" t="s">
        <v>65</v>
      </c>
      <c r="J101" s="2" t="s">
        <v>546</v>
      </c>
      <c r="K101" s="51" t="s">
        <v>67</v>
      </c>
    </row>
    <row r="102" spans="1:11" x14ac:dyDescent="0.25">
      <c r="A102" s="52">
        <v>72</v>
      </c>
      <c r="B102" s="6" t="s">
        <v>44</v>
      </c>
      <c r="C102" s="6" t="s">
        <v>329</v>
      </c>
      <c r="D102" s="6" t="s">
        <v>330</v>
      </c>
      <c r="E102" s="6" t="s">
        <v>172</v>
      </c>
      <c r="F102" s="11">
        <v>23</v>
      </c>
      <c r="G102" s="46" t="s">
        <v>454</v>
      </c>
      <c r="H102" s="6" t="s">
        <v>64</v>
      </c>
      <c r="I102" s="6" t="s">
        <v>69</v>
      </c>
      <c r="J102" s="6" t="s">
        <v>547</v>
      </c>
      <c r="K102" s="53" t="s">
        <v>71</v>
      </c>
    </row>
    <row r="103" spans="1:11" x14ac:dyDescent="0.25">
      <c r="A103" s="54">
        <v>73</v>
      </c>
      <c r="B103" s="24" t="s">
        <v>44</v>
      </c>
      <c r="C103" s="1" t="s">
        <v>331</v>
      </c>
      <c r="D103" s="1" t="s">
        <v>332</v>
      </c>
      <c r="E103" s="24" t="s">
        <v>172</v>
      </c>
      <c r="F103" s="58">
        <v>20</v>
      </c>
      <c r="G103" s="47" t="s">
        <v>455</v>
      </c>
      <c r="H103" s="24" t="s">
        <v>64</v>
      </c>
      <c r="I103" s="24" t="s">
        <v>75</v>
      </c>
      <c r="J103" s="24" t="s">
        <v>548</v>
      </c>
      <c r="K103" s="55" t="s">
        <v>77</v>
      </c>
    </row>
    <row r="104" spans="1:11" x14ac:dyDescent="0.25">
      <c r="A104" s="52">
        <v>74</v>
      </c>
      <c r="B104" s="6" t="s">
        <v>78</v>
      </c>
      <c r="C104" s="6" t="s">
        <v>333</v>
      </c>
      <c r="D104" s="6" t="s">
        <v>334</v>
      </c>
      <c r="E104" s="6" t="s">
        <v>172</v>
      </c>
      <c r="F104" s="11">
        <v>20</v>
      </c>
      <c r="G104" s="46" t="s">
        <v>456</v>
      </c>
      <c r="H104" s="6" t="s">
        <v>64</v>
      </c>
      <c r="I104" s="6" t="s">
        <v>82</v>
      </c>
      <c r="J104" s="6" t="s">
        <v>549</v>
      </c>
      <c r="K104" s="53" t="s">
        <v>84</v>
      </c>
    </row>
    <row r="105" spans="1:11" x14ac:dyDescent="0.25">
      <c r="A105" s="54">
        <v>75</v>
      </c>
      <c r="B105" s="24" t="s">
        <v>78</v>
      </c>
      <c r="C105" s="1" t="s">
        <v>335</v>
      </c>
      <c r="D105" s="1" t="s">
        <v>336</v>
      </c>
      <c r="E105" s="24" t="s">
        <v>171</v>
      </c>
      <c r="F105" s="12">
        <v>15</v>
      </c>
      <c r="G105" s="47" t="s">
        <v>457</v>
      </c>
      <c r="H105" s="24" t="s">
        <v>64</v>
      </c>
      <c r="I105" s="24" t="s">
        <v>88</v>
      </c>
      <c r="J105" s="24" t="s">
        <v>550</v>
      </c>
      <c r="K105" s="55" t="s">
        <v>90</v>
      </c>
    </row>
    <row r="106" spans="1:11" x14ac:dyDescent="0.25">
      <c r="A106" s="52">
        <v>76</v>
      </c>
      <c r="B106" s="6" t="s">
        <v>48</v>
      </c>
      <c r="C106" s="6" t="s">
        <v>337</v>
      </c>
      <c r="D106" s="6" t="s">
        <v>338</v>
      </c>
      <c r="E106" s="6" t="s">
        <v>171</v>
      </c>
      <c r="F106" s="11">
        <v>15</v>
      </c>
      <c r="G106" s="46" t="s">
        <v>458</v>
      </c>
      <c r="H106" s="6" t="s">
        <v>64</v>
      </c>
      <c r="I106" s="6" t="s">
        <v>94</v>
      </c>
      <c r="J106" s="6" t="s">
        <v>551</v>
      </c>
      <c r="K106" s="53" t="s">
        <v>96</v>
      </c>
    </row>
    <row r="107" spans="1:11" x14ac:dyDescent="0.25">
      <c r="A107" s="56">
        <v>77</v>
      </c>
      <c r="B107" s="1" t="s">
        <v>44</v>
      </c>
      <c r="C107" s="1" t="s">
        <v>339</v>
      </c>
      <c r="D107" s="1" t="s">
        <v>340</v>
      </c>
      <c r="E107" s="1" t="s">
        <v>172</v>
      </c>
      <c r="F107" s="58">
        <v>18</v>
      </c>
      <c r="G107" s="47" t="s">
        <v>459</v>
      </c>
      <c r="H107" s="1" t="s">
        <v>64</v>
      </c>
      <c r="I107" s="1" t="s">
        <v>100</v>
      </c>
      <c r="J107" s="1" t="s">
        <v>552</v>
      </c>
      <c r="K107" s="57" t="s">
        <v>102</v>
      </c>
    </row>
    <row r="108" spans="1:11" x14ac:dyDescent="0.25">
      <c r="A108" s="52">
        <v>78</v>
      </c>
      <c r="B108" s="6" t="s">
        <v>48</v>
      </c>
      <c r="C108" s="6" t="s">
        <v>341</v>
      </c>
      <c r="D108" s="6" t="s">
        <v>342</v>
      </c>
      <c r="E108" s="6" t="s">
        <v>171</v>
      </c>
      <c r="F108" s="11">
        <v>66</v>
      </c>
      <c r="G108" s="46" t="s">
        <v>460</v>
      </c>
      <c r="H108" s="6" t="s">
        <v>64</v>
      </c>
      <c r="I108" s="6" t="s">
        <v>106</v>
      </c>
      <c r="J108" s="6" t="s">
        <v>553</v>
      </c>
      <c r="K108" s="53" t="s">
        <v>108</v>
      </c>
    </row>
    <row r="109" spans="1:11" x14ac:dyDescent="0.25">
      <c r="A109" s="54">
        <v>79</v>
      </c>
      <c r="B109" s="24" t="s">
        <v>44</v>
      </c>
      <c r="C109" s="1" t="s">
        <v>343</v>
      </c>
      <c r="D109" s="1" t="s">
        <v>344</v>
      </c>
      <c r="E109" s="24" t="s">
        <v>172</v>
      </c>
      <c r="F109" s="12">
        <v>15</v>
      </c>
      <c r="G109" s="47" t="s">
        <v>461</v>
      </c>
      <c r="H109" s="24" t="s">
        <v>64</v>
      </c>
      <c r="I109" s="24" t="s">
        <v>110</v>
      </c>
      <c r="J109" s="24" t="s">
        <v>554</v>
      </c>
      <c r="K109" s="55" t="s">
        <v>112</v>
      </c>
    </row>
    <row r="110" spans="1:11" x14ac:dyDescent="0.25">
      <c r="A110" s="52">
        <v>80</v>
      </c>
      <c r="B110" s="6" t="s">
        <v>44</v>
      </c>
      <c r="C110" s="6" t="s">
        <v>345</v>
      </c>
      <c r="D110" s="6" t="s">
        <v>346</v>
      </c>
      <c r="E110" s="6" t="s">
        <v>172</v>
      </c>
      <c r="F110" s="11">
        <v>18</v>
      </c>
      <c r="G110" s="46" t="s">
        <v>462</v>
      </c>
      <c r="H110" s="6" t="s">
        <v>64</v>
      </c>
      <c r="I110" s="6" t="s">
        <v>110</v>
      </c>
      <c r="J110" s="6" t="s">
        <v>555</v>
      </c>
      <c r="K110" s="53" t="s">
        <v>112</v>
      </c>
    </row>
    <row r="111" spans="1:11" x14ac:dyDescent="0.25">
      <c r="A111" s="50">
        <v>81</v>
      </c>
      <c r="B111" s="2" t="s">
        <v>48</v>
      </c>
      <c r="C111" s="1" t="s">
        <v>347</v>
      </c>
      <c r="D111" s="1" t="s">
        <v>348</v>
      </c>
      <c r="E111" s="2" t="s">
        <v>171</v>
      </c>
      <c r="F111" s="12">
        <v>19</v>
      </c>
      <c r="G111" s="47" t="s">
        <v>463</v>
      </c>
      <c r="H111" s="2" t="s">
        <v>64</v>
      </c>
      <c r="I111" s="2" t="s">
        <v>65</v>
      </c>
      <c r="J111" s="2" t="s">
        <v>556</v>
      </c>
      <c r="K111" s="51" t="s">
        <v>67</v>
      </c>
    </row>
    <row r="112" spans="1:11" x14ac:dyDescent="0.25">
      <c r="A112" s="52">
        <v>82</v>
      </c>
      <c r="B112" s="6" t="s">
        <v>44</v>
      </c>
      <c r="C112" s="6" t="s">
        <v>349</v>
      </c>
      <c r="D112" s="6" t="s">
        <v>350</v>
      </c>
      <c r="E112" s="6" t="s">
        <v>172</v>
      </c>
      <c r="F112" s="11">
        <v>25</v>
      </c>
      <c r="G112" s="46" t="s">
        <v>464</v>
      </c>
      <c r="H112" s="6" t="s">
        <v>64</v>
      </c>
      <c r="I112" s="6" t="s">
        <v>69</v>
      </c>
      <c r="J112" s="6" t="s">
        <v>557</v>
      </c>
      <c r="K112" s="53" t="s">
        <v>71</v>
      </c>
    </row>
    <row r="113" spans="1:11" x14ac:dyDescent="0.25">
      <c r="A113" s="54">
        <v>83</v>
      </c>
      <c r="B113" s="24" t="s">
        <v>44</v>
      </c>
      <c r="C113" s="1" t="s">
        <v>351</v>
      </c>
      <c r="D113" s="1" t="s">
        <v>352</v>
      </c>
      <c r="E113" s="24" t="s">
        <v>172</v>
      </c>
      <c r="F113" s="12">
        <v>21</v>
      </c>
      <c r="G113" s="47" t="s">
        <v>465</v>
      </c>
      <c r="H113" s="24" t="s">
        <v>64</v>
      </c>
      <c r="I113" s="24" t="s">
        <v>75</v>
      </c>
      <c r="J113" s="24" t="s">
        <v>558</v>
      </c>
      <c r="K113" s="55" t="s">
        <v>77</v>
      </c>
    </row>
    <row r="114" spans="1:11" x14ac:dyDescent="0.25">
      <c r="A114" s="52">
        <v>84</v>
      </c>
      <c r="B114" s="6" t="s">
        <v>78</v>
      </c>
      <c r="C114" s="6" t="s">
        <v>353</v>
      </c>
      <c r="D114" s="6" t="s">
        <v>354</v>
      </c>
      <c r="E114" s="6" t="s">
        <v>172</v>
      </c>
      <c r="F114" s="11">
        <v>56</v>
      </c>
      <c r="G114" s="46" t="s">
        <v>466</v>
      </c>
      <c r="H114" s="6" t="s">
        <v>64</v>
      </c>
      <c r="I114" s="6" t="s">
        <v>82</v>
      </c>
      <c r="J114" s="6" t="s">
        <v>559</v>
      </c>
      <c r="K114" s="53" t="s">
        <v>84</v>
      </c>
    </row>
    <row r="115" spans="1:11" x14ac:dyDescent="0.25">
      <c r="A115" s="54">
        <v>85</v>
      </c>
      <c r="B115" s="24" t="s">
        <v>78</v>
      </c>
      <c r="C115" s="1" t="s">
        <v>355</v>
      </c>
      <c r="D115" s="1" t="s">
        <v>356</v>
      </c>
      <c r="E115" s="24" t="s">
        <v>171</v>
      </c>
      <c r="F115" s="12">
        <v>45</v>
      </c>
      <c r="G115" s="47" t="s">
        <v>467</v>
      </c>
      <c r="H115" s="24" t="s">
        <v>64</v>
      </c>
      <c r="I115" s="24" t="s">
        <v>88</v>
      </c>
      <c r="J115" s="24" t="s">
        <v>560</v>
      </c>
      <c r="K115" s="55" t="s">
        <v>90</v>
      </c>
    </row>
    <row r="116" spans="1:11" x14ac:dyDescent="0.25">
      <c r="A116" s="52">
        <v>86</v>
      </c>
      <c r="B116" s="6" t="s">
        <v>48</v>
      </c>
      <c r="C116" s="6" t="s">
        <v>357</v>
      </c>
      <c r="D116" s="6" t="s">
        <v>358</v>
      </c>
      <c r="E116" s="6" t="s">
        <v>171</v>
      </c>
      <c r="F116" s="11">
        <v>32</v>
      </c>
      <c r="G116" s="46" t="s">
        <v>468</v>
      </c>
      <c r="H116" s="6" t="s">
        <v>64</v>
      </c>
      <c r="I116" s="6" t="s">
        <v>94</v>
      </c>
      <c r="J116" s="6" t="s">
        <v>561</v>
      </c>
      <c r="K116" s="53" t="s">
        <v>96</v>
      </c>
    </row>
    <row r="117" spans="1:11" x14ac:dyDescent="0.25">
      <c r="A117" s="56">
        <v>87</v>
      </c>
      <c r="B117" s="1" t="s">
        <v>44</v>
      </c>
      <c r="C117" s="1" t="s">
        <v>359</v>
      </c>
      <c r="D117" s="1" t="s">
        <v>360</v>
      </c>
      <c r="E117" s="1" t="s">
        <v>172</v>
      </c>
      <c r="F117" s="12">
        <v>57</v>
      </c>
      <c r="G117" s="47" t="s">
        <v>469</v>
      </c>
      <c r="H117" s="1" t="s">
        <v>64</v>
      </c>
      <c r="I117" s="1" t="s">
        <v>100</v>
      </c>
      <c r="J117" s="1" t="s">
        <v>562</v>
      </c>
      <c r="K117" s="57" t="s">
        <v>102</v>
      </c>
    </row>
    <row r="118" spans="1:11" x14ac:dyDescent="0.25">
      <c r="A118" s="52">
        <v>88</v>
      </c>
      <c r="B118" s="6" t="s">
        <v>48</v>
      </c>
      <c r="C118" s="6" t="s">
        <v>361</v>
      </c>
      <c r="D118" s="6" t="s">
        <v>362</v>
      </c>
      <c r="E118" s="6" t="s">
        <v>171</v>
      </c>
      <c r="F118" s="11">
        <v>78</v>
      </c>
      <c r="G118" s="46" t="s">
        <v>470</v>
      </c>
      <c r="H118" s="6" t="s">
        <v>64</v>
      </c>
      <c r="I118" s="6" t="s">
        <v>106</v>
      </c>
      <c r="J118" s="6" t="s">
        <v>563</v>
      </c>
      <c r="K118" s="53" t="s">
        <v>108</v>
      </c>
    </row>
    <row r="119" spans="1:11" x14ac:dyDescent="0.25">
      <c r="A119" s="54">
        <v>89</v>
      </c>
      <c r="B119" s="24" t="s">
        <v>44</v>
      </c>
      <c r="C119" s="1" t="s">
        <v>363</v>
      </c>
      <c r="D119" s="1" t="s">
        <v>364</v>
      </c>
      <c r="E119" s="24" t="s">
        <v>172</v>
      </c>
      <c r="F119" s="12">
        <v>75</v>
      </c>
      <c r="G119" s="47" t="s">
        <v>471</v>
      </c>
      <c r="H119" s="24" t="s">
        <v>64</v>
      </c>
      <c r="I119" s="24" t="s">
        <v>110</v>
      </c>
      <c r="J119" s="24" t="s">
        <v>564</v>
      </c>
      <c r="K119" s="55" t="s">
        <v>112</v>
      </c>
    </row>
    <row r="120" spans="1:11" x14ac:dyDescent="0.25">
      <c r="A120" s="52">
        <v>90</v>
      </c>
      <c r="B120" s="6" t="s">
        <v>44</v>
      </c>
      <c r="C120" s="6" t="s">
        <v>365</v>
      </c>
      <c r="D120" s="6" t="s">
        <v>366</v>
      </c>
      <c r="E120" s="6" t="s">
        <v>172</v>
      </c>
      <c r="F120" s="11">
        <v>68</v>
      </c>
      <c r="G120" s="46" t="s">
        <v>472</v>
      </c>
      <c r="H120" s="6" t="s">
        <v>64</v>
      </c>
      <c r="I120" s="6" t="s">
        <v>110</v>
      </c>
      <c r="J120" s="6" t="s">
        <v>565</v>
      </c>
      <c r="K120" s="53" t="s">
        <v>112</v>
      </c>
    </row>
    <row r="121" spans="1:11" x14ac:dyDescent="0.25">
      <c r="A121" s="50">
        <v>91</v>
      </c>
      <c r="B121" s="2" t="s">
        <v>48</v>
      </c>
      <c r="C121" s="1" t="s">
        <v>367</v>
      </c>
      <c r="D121" s="1" t="s">
        <v>368</v>
      </c>
      <c r="E121" s="2" t="s">
        <v>171</v>
      </c>
      <c r="F121" s="12">
        <v>25</v>
      </c>
      <c r="G121" s="47" t="s">
        <v>473</v>
      </c>
      <c r="H121" s="2" t="s">
        <v>64</v>
      </c>
      <c r="I121" s="2" t="s">
        <v>65</v>
      </c>
      <c r="J121" s="2" t="s">
        <v>566</v>
      </c>
      <c r="K121" s="51" t="s">
        <v>67</v>
      </c>
    </row>
    <row r="122" spans="1:11" x14ac:dyDescent="0.25">
      <c r="A122" s="52">
        <v>92</v>
      </c>
      <c r="B122" s="6" t="s">
        <v>44</v>
      </c>
      <c r="C122" s="6" t="s">
        <v>369</v>
      </c>
      <c r="D122" s="6" t="s">
        <v>370</v>
      </c>
      <c r="E122" s="6" t="s">
        <v>172</v>
      </c>
      <c r="F122" s="11">
        <v>21</v>
      </c>
      <c r="G122" s="46" t="s">
        <v>474</v>
      </c>
      <c r="H122" s="6" t="s">
        <v>64</v>
      </c>
      <c r="I122" s="6" t="s">
        <v>69</v>
      </c>
      <c r="J122" s="6" t="s">
        <v>567</v>
      </c>
      <c r="K122" s="53" t="s">
        <v>71</v>
      </c>
    </row>
    <row r="123" spans="1:11" x14ac:dyDescent="0.25">
      <c r="A123" s="54">
        <v>93</v>
      </c>
      <c r="B123" s="24" t="s">
        <v>44</v>
      </c>
      <c r="C123" s="1" t="s">
        <v>371</v>
      </c>
      <c r="D123" s="1" t="s">
        <v>372</v>
      </c>
      <c r="E123" s="24" t="s">
        <v>172</v>
      </c>
      <c r="F123" s="12">
        <v>20</v>
      </c>
      <c r="G123" s="47" t="s">
        <v>475</v>
      </c>
      <c r="H123" s="24" t="s">
        <v>64</v>
      </c>
      <c r="I123" s="24" t="s">
        <v>75</v>
      </c>
      <c r="J123" s="24" t="s">
        <v>568</v>
      </c>
      <c r="K123" s="55" t="s">
        <v>77</v>
      </c>
    </row>
    <row r="124" spans="1:11" x14ac:dyDescent="0.25">
      <c r="A124" s="52">
        <v>94</v>
      </c>
      <c r="B124" s="6" t="s">
        <v>78</v>
      </c>
      <c r="C124" s="6" t="s">
        <v>373</v>
      </c>
      <c r="D124" s="6" t="s">
        <v>374</v>
      </c>
      <c r="E124" s="6" t="s">
        <v>172</v>
      </c>
      <c r="F124" s="11">
        <v>19</v>
      </c>
      <c r="G124" s="46" t="s">
        <v>476</v>
      </c>
      <c r="H124" s="6" t="s">
        <v>64</v>
      </c>
      <c r="I124" s="6" t="s">
        <v>82</v>
      </c>
      <c r="J124" s="6" t="s">
        <v>569</v>
      </c>
      <c r="K124" s="53" t="s">
        <v>84</v>
      </c>
    </row>
    <row r="125" spans="1:11" x14ac:dyDescent="0.25">
      <c r="A125" s="54">
        <v>95</v>
      </c>
      <c r="B125" s="24" t="s">
        <v>78</v>
      </c>
      <c r="C125" s="1" t="s">
        <v>375</v>
      </c>
      <c r="D125" s="1" t="s">
        <v>376</v>
      </c>
      <c r="E125" s="24" t="s">
        <v>171</v>
      </c>
      <c r="F125" s="12">
        <v>17</v>
      </c>
      <c r="G125" s="47" t="s">
        <v>477</v>
      </c>
      <c r="H125" s="24" t="s">
        <v>64</v>
      </c>
      <c r="I125" s="24" t="s">
        <v>88</v>
      </c>
      <c r="J125" s="24" t="s">
        <v>570</v>
      </c>
      <c r="K125" s="55" t="s">
        <v>90</v>
      </c>
    </row>
    <row r="126" spans="1:11" x14ac:dyDescent="0.25">
      <c r="A126" s="52">
        <v>96</v>
      </c>
      <c r="B126" s="6" t="s">
        <v>48</v>
      </c>
      <c r="C126" s="6" t="s">
        <v>377</v>
      </c>
      <c r="D126" s="6" t="s">
        <v>378</v>
      </c>
      <c r="E126" s="6" t="s">
        <v>171</v>
      </c>
      <c r="F126" s="11">
        <v>18</v>
      </c>
      <c r="G126" s="46" t="s">
        <v>478</v>
      </c>
      <c r="H126" s="6" t="s">
        <v>64</v>
      </c>
      <c r="I126" s="6" t="s">
        <v>94</v>
      </c>
      <c r="J126" s="6" t="s">
        <v>571</v>
      </c>
      <c r="K126" s="53" t="s">
        <v>96</v>
      </c>
    </row>
    <row r="127" spans="1:11" x14ac:dyDescent="0.25">
      <c r="A127" s="56">
        <v>97</v>
      </c>
      <c r="B127" s="1" t="s">
        <v>44</v>
      </c>
      <c r="C127" s="1" t="s">
        <v>379</v>
      </c>
      <c r="D127" s="1" t="s">
        <v>380</v>
      </c>
      <c r="E127" s="1" t="s">
        <v>172</v>
      </c>
      <c r="F127" s="12">
        <v>16</v>
      </c>
      <c r="G127" s="47" t="s">
        <v>479</v>
      </c>
      <c r="H127" s="1" t="s">
        <v>64</v>
      </c>
      <c r="I127" s="1" t="s">
        <v>100</v>
      </c>
      <c r="J127" s="1" t="s">
        <v>572</v>
      </c>
      <c r="K127" s="57" t="s">
        <v>102</v>
      </c>
    </row>
    <row r="128" spans="1:11" x14ac:dyDescent="0.25">
      <c r="A128" s="52">
        <v>98</v>
      </c>
      <c r="B128" s="6" t="s">
        <v>48</v>
      </c>
      <c r="C128" s="6" t="s">
        <v>381</v>
      </c>
      <c r="D128" s="6" t="s">
        <v>382</v>
      </c>
      <c r="E128" s="6" t="s">
        <v>171</v>
      </c>
      <c r="F128" s="11">
        <v>26</v>
      </c>
      <c r="G128" s="46" t="s">
        <v>480</v>
      </c>
      <c r="H128" s="6" t="s">
        <v>64</v>
      </c>
      <c r="I128" s="6" t="s">
        <v>106</v>
      </c>
      <c r="J128" s="6" t="s">
        <v>573</v>
      </c>
      <c r="K128" s="53" t="s">
        <v>108</v>
      </c>
    </row>
    <row r="129" spans="1:11" x14ac:dyDescent="0.25">
      <c r="A129" s="54">
        <v>99</v>
      </c>
      <c r="B129" s="24" t="s">
        <v>44</v>
      </c>
      <c r="C129" s="1" t="s">
        <v>383</v>
      </c>
      <c r="D129" s="1" t="s">
        <v>384</v>
      </c>
      <c r="E129" s="24" t="s">
        <v>172</v>
      </c>
      <c r="F129" s="12">
        <v>24</v>
      </c>
      <c r="G129" s="47" t="s">
        <v>481</v>
      </c>
      <c r="H129" s="24" t="s">
        <v>64</v>
      </c>
      <c r="I129" s="24" t="s">
        <v>110</v>
      </c>
      <c r="J129" s="24" t="s">
        <v>574</v>
      </c>
      <c r="K129" s="55" t="s">
        <v>112</v>
      </c>
    </row>
    <row r="130" spans="1:11" x14ac:dyDescent="0.25">
      <c r="A130" s="52">
        <v>100</v>
      </c>
      <c r="B130" s="6" t="s">
        <v>44</v>
      </c>
      <c r="C130" s="6" t="s">
        <v>385</v>
      </c>
      <c r="D130" s="6" t="s">
        <v>386</v>
      </c>
      <c r="E130" s="6" t="s">
        <v>172</v>
      </c>
      <c r="F130" s="11">
        <v>27</v>
      </c>
      <c r="G130" s="46" t="s">
        <v>482</v>
      </c>
      <c r="H130" s="6" t="s">
        <v>64</v>
      </c>
      <c r="I130" s="6" t="s">
        <v>110</v>
      </c>
      <c r="J130" s="6" t="s">
        <v>575</v>
      </c>
      <c r="K130" s="53" t="s">
        <v>112</v>
      </c>
    </row>
    <row r="131" spans="1:11" x14ac:dyDescent="0.25">
      <c r="A131" s="50">
        <v>101</v>
      </c>
      <c r="B131" s="2" t="s">
        <v>48</v>
      </c>
      <c r="C131" s="1" t="s">
        <v>387</v>
      </c>
      <c r="D131" s="1" t="s">
        <v>388</v>
      </c>
      <c r="E131" s="2" t="s">
        <v>171</v>
      </c>
      <c r="F131" s="12">
        <v>26</v>
      </c>
      <c r="G131" s="47" t="s">
        <v>483</v>
      </c>
      <c r="H131" s="2" t="s">
        <v>64</v>
      </c>
      <c r="I131" s="2" t="s">
        <v>65</v>
      </c>
      <c r="J131" s="2" t="s">
        <v>576</v>
      </c>
      <c r="K131" s="51" t="s">
        <v>67</v>
      </c>
    </row>
    <row r="132" spans="1:11" x14ac:dyDescent="0.25">
      <c r="A132" s="52">
        <v>102</v>
      </c>
      <c r="B132" s="6" t="s">
        <v>44</v>
      </c>
      <c r="C132" s="6" t="s">
        <v>389</v>
      </c>
      <c r="D132" s="6" t="s">
        <v>390</v>
      </c>
      <c r="E132" s="6" t="s">
        <v>172</v>
      </c>
      <c r="F132" s="11">
        <v>25</v>
      </c>
      <c r="G132" s="46" t="s">
        <v>484</v>
      </c>
      <c r="H132" s="6" t="s">
        <v>64</v>
      </c>
      <c r="I132" s="6" t="s">
        <v>69</v>
      </c>
      <c r="J132" s="6" t="s">
        <v>577</v>
      </c>
      <c r="K132" s="53" t="s">
        <v>71</v>
      </c>
    </row>
    <row r="133" spans="1:11" x14ac:dyDescent="0.25">
      <c r="A133" s="54">
        <v>103</v>
      </c>
      <c r="B133" s="24" t="s">
        <v>44</v>
      </c>
      <c r="C133" s="1" t="s">
        <v>391</v>
      </c>
      <c r="D133" s="1" t="s">
        <v>392</v>
      </c>
      <c r="E133" s="24" t="s">
        <v>172</v>
      </c>
      <c r="F133" s="33">
        <v>11</v>
      </c>
      <c r="G133" s="47" t="s">
        <v>485</v>
      </c>
      <c r="H133" s="1" t="s">
        <v>64</v>
      </c>
      <c r="I133" s="24" t="s">
        <v>75</v>
      </c>
      <c r="J133" s="24" t="s">
        <v>578</v>
      </c>
      <c r="K133" s="55" t="s">
        <v>77</v>
      </c>
    </row>
    <row r="134" spans="1:11" x14ac:dyDescent="0.25">
      <c r="A134" s="52"/>
      <c r="B134" s="6"/>
      <c r="C134" s="6"/>
      <c r="D134" s="6"/>
      <c r="E134" s="6"/>
      <c r="F134" s="11"/>
      <c r="G134" s="46"/>
      <c r="H134" s="6"/>
      <c r="I134" s="6"/>
      <c r="J134" s="46"/>
      <c r="K134" s="53"/>
    </row>
    <row r="135" spans="1:11" x14ac:dyDescent="0.25">
      <c r="A135" s="56"/>
      <c r="B135" s="1"/>
      <c r="C135" s="1"/>
      <c r="D135" s="1"/>
      <c r="E135" s="1"/>
      <c r="F135" s="12"/>
      <c r="G135" s="47"/>
      <c r="H135" s="1"/>
      <c r="I135" s="1"/>
      <c r="J135" s="47"/>
      <c r="K135" s="57"/>
    </row>
    <row r="136" spans="1:11" x14ac:dyDescent="0.25">
      <c r="A136" s="52"/>
      <c r="B136" s="6"/>
      <c r="C136" s="6"/>
      <c r="D136" s="6"/>
      <c r="E136" s="6"/>
      <c r="F136" s="11"/>
      <c r="G136" s="46"/>
      <c r="H136" s="6"/>
      <c r="I136" s="6"/>
      <c r="J136" s="46"/>
      <c r="K136" s="53"/>
    </row>
    <row r="137" spans="1:11" x14ac:dyDescent="0.25">
      <c r="A137" s="56"/>
      <c r="B137" s="1"/>
      <c r="C137" s="1"/>
      <c r="D137" s="1"/>
      <c r="E137" s="1"/>
      <c r="F137" s="12"/>
      <c r="G137" s="47"/>
      <c r="H137" s="1"/>
      <c r="I137" s="1"/>
      <c r="J137" s="47"/>
      <c r="K137" s="57"/>
    </row>
    <row r="138" spans="1:11" x14ac:dyDescent="0.25">
      <c r="A138" s="52"/>
      <c r="B138" s="6"/>
      <c r="C138" s="6"/>
      <c r="D138" s="6"/>
      <c r="E138" s="6"/>
      <c r="F138" s="11"/>
      <c r="G138" s="46"/>
      <c r="H138" s="6"/>
      <c r="I138" s="6"/>
      <c r="J138" s="46"/>
      <c r="K138" s="53"/>
    </row>
    <row r="139" spans="1:11" x14ac:dyDescent="0.25">
      <c r="A139" s="56"/>
      <c r="B139" s="1"/>
      <c r="C139" s="1"/>
      <c r="D139" s="1"/>
      <c r="E139" s="1"/>
      <c r="F139" s="12"/>
      <c r="G139" s="47"/>
      <c r="H139" s="1"/>
      <c r="I139" s="1"/>
      <c r="J139" s="47"/>
      <c r="K139" s="57"/>
    </row>
    <row r="140" spans="1:11" x14ac:dyDescent="0.25">
      <c r="A140" s="52"/>
      <c r="B140" s="6"/>
      <c r="C140" s="6"/>
      <c r="D140" s="6"/>
      <c r="E140" s="6"/>
      <c r="F140" s="11"/>
      <c r="G140" s="46"/>
      <c r="H140" s="6"/>
      <c r="I140" s="6"/>
      <c r="J140" s="46"/>
      <c r="K140" s="53"/>
    </row>
    <row r="141" spans="1:11" x14ac:dyDescent="0.25">
      <c r="A141" s="56"/>
      <c r="B141" s="1"/>
      <c r="C141" s="1"/>
      <c r="D141" s="1"/>
      <c r="E141" s="1"/>
      <c r="F141" s="12"/>
      <c r="G141" s="47"/>
      <c r="H141" s="1"/>
      <c r="I141" s="1"/>
      <c r="J141" s="47"/>
      <c r="K141" s="57"/>
    </row>
    <row r="142" spans="1:11" x14ac:dyDescent="0.25">
      <c r="A142" s="52"/>
      <c r="B142" s="6"/>
      <c r="C142" s="6"/>
      <c r="D142" s="6"/>
      <c r="E142" s="6"/>
      <c r="F142" s="11"/>
      <c r="G142" s="46"/>
      <c r="H142" s="6"/>
      <c r="I142" s="6"/>
      <c r="J142" s="46"/>
      <c r="K142" s="53"/>
    </row>
    <row r="143" spans="1:11" x14ac:dyDescent="0.25">
      <c r="A143" s="56"/>
      <c r="B143" s="1"/>
      <c r="C143" s="1"/>
      <c r="D143" s="1"/>
      <c r="E143" s="1"/>
      <c r="F143" s="12"/>
      <c r="G143" s="47"/>
      <c r="H143" s="1"/>
      <c r="I143" s="1"/>
      <c r="J143" s="47"/>
      <c r="K143" s="57"/>
    </row>
    <row r="144" spans="1:11" x14ac:dyDescent="0.25">
      <c r="A144" s="52"/>
      <c r="B144" s="6"/>
      <c r="C144" s="6"/>
      <c r="D144" s="6"/>
      <c r="E144" s="6"/>
      <c r="F144" s="11"/>
      <c r="G144" s="46"/>
      <c r="H144" s="6"/>
      <c r="I144" s="6"/>
      <c r="J144" s="46"/>
      <c r="K144" s="53"/>
    </row>
    <row r="145" spans="1:11" x14ac:dyDescent="0.25">
      <c r="A145" s="56"/>
      <c r="B145" s="1"/>
      <c r="C145" s="1"/>
      <c r="D145" s="1"/>
      <c r="E145" s="1"/>
      <c r="F145" s="12"/>
      <c r="G145" s="47"/>
      <c r="H145" s="1"/>
      <c r="I145" s="1"/>
      <c r="J145" s="47"/>
      <c r="K145" s="57"/>
    </row>
    <row r="146" spans="1:11" x14ac:dyDescent="0.25">
      <c r="A146" s="52"/>
      <c r="B146" s="6"/>
      <c r="C146" s="6"/>
      <c r="D146" s="6"/>
      <c r="E146" s="6"/>
      <c r="F146" s="11"/>
      <c r="G146" s="46"/>
      <c r="H146" s="6"/>
      <c r="I146" s="6"/>
      <c r="J146" s="46"/>
      <c r="K146" s="53"/>
    </row>
    <row r="147" spans="1:11" x14ac:dyDescent="0.25">
      <c r="A147" s="56"/>
      <c r="B147" s="1"/>
      <c r="C147" s="1"/>
      <c r="D147" s="1"/>
      <c r="E147" s="1"/>
      <c r="F147" s="12"/>
      <c r="G147" s="47"/>
      <c r="H147" s="1"/>
      <c r="I147" s="1"/>
      <c r="J147" s="47"/>
      <c r="K147" s="57"/>
    </row>
    <row r="148" spans="1:11" x14ac:dyDescent="0.25">
      <c r="A148" s="52"/>
      <c r="B148" s="6"/>
      <c r="C148" s="6"/>
      <c r="D148" s="6"/>
      <c r="E148" s="6"/>
      <c r="F148" s="11"/>
      <c r="G148" s="46"/>
      <c r="H148" s="6"/>
      <c r="I148" s="6"/>
      <c r="J148" s="46"/>
      <c r="K148" s="53"/>
    </row>
    <row r="149" spans="1:11" x14ac:dyDescent="0.25">
      <c r="A149" s="56"/>
      <c r="B149" s="1"/>
      <c r="C149" s="1"/>
      <c r="D149" s="1"/>
      <c r="E149" s="1"/>
      <c r="F149" s="12"/>
      <c r="G149" s="47"/>
      <c r="H149" s="1"/>
      <c r="I149" s="1"/>
      <c r="J149" s="47"/>
      <c r="K149" s="57"/>
    </row>
    <row r="150" spans="1:11" x14ac:dyDescent="0.25">
      <c r="A150" s="52"/>
      <c r="B150" s="6"/>
      <c r="C150" s="6"/>
      <c r="D150" s="6"/>
      <c r="E150" s="6"/>
      <c r="F150" s="11"/>
      <c r="G150" s="46"/>
      <c r="H150" s="6"/>
      <c r="I150" s="6"/>
      <c r="J150" s="46"/>
      <c r="K150" s="53"/>
    </row>
    <row r="151" spans="1:11" x14ac:dyDescent="0.25">
      <c r="A151" s="56"/>
      <c r="B151" s="1"/>
      <c r="C151" s="1"/>
      <c r="D151" s="1"/>
      <c r="E151" s="1"/>
      <c r="F151" s="12"/>
      <c r="G151" s="47"/>
      <c r="H151" s="1"/>
      <c r="I151" s="1"/>
      <c r="J151" s="47"/>
      <c r="K151" s="57"/>
    </row>
    <row r="152" spans="1:11" x14ac:dyDescent="0.25">
      <c r="A152" s="52"/>
      <c r="B152" s="6"/>
      <c r="C152" s="6"/>
      <c r="D152" s="6"/>
      <c r="E152" s="6"/>
      <c r="F152" s="11"/>
      <c r="G152" s="46"/>
      <c r="H152" s="6"/>
      <c r="I152" s="6"/>
      <c r="J152" s="46"/>
      <c r="K152" s="53"/>
    </row>
    <row r="153" spans="1:11" x14ac:dyDescent="0.25">
      <c r="A153" s="56"/>
      <c r="B153" s="1"/>
      <c r="C153" s="1"/>
      <c r="D153" s="1"/>
      <c r="E153" s="1"/>
      <c r="F153" s="12"/>
      <c r="G153" s="47"/>
      <c r="H153" s="1"/>
      <c r="I153" s="1"/>
      <c r="J153" s="47"/>
      <c r="K153" s="57"/>
    </row>
    <row r="154" spans="1:11" x14ac:dyDescent="0.25">
      <c r="A154" s="52"/>
      <c r="B154" s="6"/>
      <c r="C154" s="6"/>
      <c r="D154" s="6"/>
      <c r="E154" s="6"/>
      <c r="F154" s="11"/>
      <c r="G154" s="46"/>
      <c r="H154" s="6"/>
      <c r="I154" s="6"/>
      <c r="J154" s="46"/>
      <c r="K154" s="53"/>
    </row>
    <row r="155" spans="1:11" x14ac:dyDescent="0.25">
      <c r="A155" s="56"/>
      <c r="B155" s="1"/>
      <c r="C155" s="1"/>
      <c r="D155" s="1"/>
      <c r="E155" s="1"/>
      <c r="F155" s="12"/>
      <c r="G155" s="47"/>
      <c r="H155" s="1"/>
      <c r="I155" s="1"/>
      <c r="J155" s="47"/>
      <c r="K155" s="57"/>
    </row>
    <row r="156" spans="1:11" x14ac:dyDescent="0.25">
      <c r="A156" s="52"/>
      <c r="B156" s="6"/>
      <c r="C156" s="6"/>
      <c r="D156" s="6"/>
      <c r="E156" s="6"/>
      <c r="F156" s="11"/>
      <c r="G156" s="46"/>
      <c r="H156" s="6"/>
      <c r="I156" s="6"/>
      <c r="J156" s="46"/>
      <c r="K156" s="53"/>
    </row>
    <row r="157" spans="1:11" x14ac:dyDescent="0.25">
      <c r="A157" s="56"/>
      <c r="B157" s="1"/>
      <c r="C157" s="1"/>
      <c r="D157" s="1"/>
      <c r="E157" s="1"/>
      <c r="F157" s="12"/>
      <c r="G157" s="47"/>
      <c r="H157" s="1"/>
      <c r="I157" s="1"/>
      <c r="J157" s="47"/>
      <c r="K157" s="57"/>
    </row>
    <row r="158" spans="1:11" x14ac:dyDescent="0.25">
      <c r="A158" s="52"/>
      <c r="B158" s="6"/>
      <c r="C158" s="6"/>
      <c r="D158" s="6"/>
      <c r="E158" s="6"/>
      <c r="F158" s="11"/>
      <c r="G158" s="46"/>
      <c r="H158" s="6"/>
      <c r="I158" s="6"/>
      <c r="J158" s="46"/>
      <c r="K158" s="53"/>
    </row>
    <row r="159" spans="1:11" x14ac:dyDescent="0.25">
      <c r="A159" s="56"/>
      <c r="B159" s="1"/>
      <c r="C159" s="1"/>
      <c r="D159" s="1"/>
      <c r="E159" s="1"/>
      <c r="F159" s="12"/>
      <c r="G159" s="47"/>
      <c r="H159" s="1"/>
      <c r="I159" s="1"/>
      <c r="J159" s="47"/>
      <c r="K159" s="57"/>
    </row>
    <row r="160" spans="1:11" x14ac:dyDescent="0.25">
      <c r="A160" s="52"/>
      <c r="B160" s="6"/>
      <c r="C160" s="6"/>
      <c r="D160" s="6"/>
      <c r="E160" s="6"/>
      <c r="F160" s="11"/>
      <c r="G160" s="46"/>
      <c r="H160" s="6"/>
      <c r="I160" s="6"/>
      <c r="J160" s="46"/>
      <c r="K160" s="53"/>
    </row>
    <row r="161" spans="1:11" x14ac:dyDescent="0.25">
      <c r="A161" s="56"/>
      <c r="B161" s="1"/>
      <c r="C161" s="1"/>
      <c r="D161" s="1"/>
      <c r="E161" s="1"/>
      <c r="F161" s="12"/>
      <c r="G161" s="47"/>
      <c r="H161" s="1"/>
      <c r="I161" s="1"/>
      <c r="J161" s="47"/>
      <c r="K161" s="57"/>
    </row>
    <row r="162" spans="1:11" x14ac:dyDescent="0.25">
      <c r="A162" s="52"/>
      <c r="B162" s="6"/>
      <c r="C162" s="6"/>
      <c r="D162" s="6"/>
      <c r="E162" s="6"/>
      <c r="F162" s="11"/>
      <c r="G162" s="46"/>
      <c r="H162" s="6"/>
      <c r="I162" s="6"/>
      <c r="J162" s="46"/>
      <c r="K162" s="53"/>
    </row>
    <row r="163" spans="1:11" x14ac:dyDescent="0.25">
      <c r="A163" s="56"/>
      <c r="B163" s="1"/>
      <c r="C163" s="1"/>
      <c r="D163" s="1"/>
      <c r="E163" s="1"/>
      <c r="F163" s="12"/>
      <c r="G163" s="47"/>
      <c r="H163" s="1"/>
      <c r="I163" s="1"/>
      <c r="J163" s="47"/>
      <c r="K163" s="57"/>
    </row>
    <row r="164" spans="1:11" x14ac:dyDescent="0.25">
      <c r="A164" s="52"/>
      <c r="B164" s="6"/>
      <c r="C164" s="6"/>
      <c r="D164" s="6"/>
      <c r="E164" s="6"/>
      <c r="F164" s="11"/>
      <c r="G164" s="46"/>
      <c r="H164" s="6"/>
      <c r="I164" s="6"/>
      <c r="J164" s="46"/>
      <c r="K164" s="53"/>
    </row>
    <row r="165" spans="1:11" x14ac:dyDescent="0.25">
      <c r="A165" s="56"/>
      <c r="B165" s="1"/>
      <c r="C165" s="1"/>
      <c r="D165" s="1"/>
      <c r="E165" s="1"/>
      <c r="F165" s="12"/>
      <c r="G165" s="47"/>
      <c r="H165" s="1"/>
      <c r="I165" s="1"/>
      <c r="J165" s="47"/>
      <c r="K165" s="57"/>
    </row>
    <row r="166" spans="1:11" x14ac:dyDescent="0.25">
      <c r="A166" s="52"/>
      <c r="B166" s="6"/>
      <c r="C166" s="6"/>
      <c r="D166" s="6"/>
      <c r="E166" s="6"/>
      <c r="F166" s="11"/>
      <c r="G166" s="46"/>
      <c r="H166" s="6"/>
      <c r="I166" s="6"/>
      <c r="J166" s="46"/>
      <c r="K166" s="53"/>
    </row>
    <row r="167" spans="1:11" x14ac:dyDescent="0.25">
      <c r="A167" s="56"/>
      <c r="B167" s="1"/>
      <c r="C167" s="1"/>
      <c r="D167" s="1"/>
      <c r="E167" s="1"/>
      <c r="F167" s="12"/>
      <c r="G167" s="47"/>
      <c r="H167" s="1"/>
      <c r="I167" s="1"/>
      <c r="J167" s="47"/>
      <c r="K167" s="57"/>
    </row>
    <row r="168" spans="1:11" x14ac:dyDescent="0.25">
      <c r="A168" s="52"/>
      <c r="B168" s="6"/>
      <c r="C168" s="6"/>
      <c r="D168" s="6"/>
      <c r="E168" s="6"/>
      <c r="F168" s="11"/>
      <c r="G168" s="46"/>
      <c r="H168" s="6"/>
      <c r="I168" s="6"/>
      <c r="J168" s="46"/>
      <c r="K168" s="53"/>
    </row>
    <row r="169" spans="1:11" x14ac:dyDescent="0.25">
      <c r="A169" s="56"/>
      <c r="B169" s="1"/>
      <c r="C169" s="1"/>
      <c r="D169" s="1"/>
      <c r="E169" s="1"/>
      <c r="F169" s="12"/>
      <c r="G169" s="47"/>
      <c r="H169" s="1"/>
      <c r="I169" s="1"/>
      <c r="J169" s="47"/>
      <c r="K169" s="57"/>
    </row>
    <row r="170" spans="1:11" x14ac:dyDescent="0.25">
      <c r="A170" s="52"/>
      <c r="B170" s="6"/>
      <c r="C170" s="6"/>
      <c r="D170" s="6"/>
      <c r="E170" s="6"/>
      <c r="F170" s="11"/>
      <c r="G170" s="46"/>
      <c r="H170" s="6"/>
      <c r="I170" s="6"/>
      <c r="J170" s="46"/>
      <c r="K170" s="53"/>
    </row>
    <row r="171" spans="1:11" x14ac:dyDescent="0.25">
      <c r="A171" s="56"/>
      <c r="B171" s="1"/>
      <c r="C171" s="1"/>
      <c r="D171" s="1"/>
      <c r="E171" s="1"/>
      <c r="F171" s="12"/>
      <c r="G171" s="47"/>
      <c r="H171" s="1"/>
      <c r="I171" s="1"/>
      <c r="J171" s="47"/>
      <c r="K171" s="57"/>
    </row>
    <row r="172" spans="1:11" x14ac:dyDescent="0.25">
      <c r="A172" s="52"/>
      <c r="B172" s="6"/>
      <c r="C172" s="6"/>
      <c r="D172" s="6"/>
      <c r="E172" s="6"/>
      <c r="F172" s="11"/>
      <c r="G172" s="46"/>
      <c r="H172" s="6"/>
      <c r="I172" s="6"/>
      <c r="J172" s="46"/>
      <c r="K172" s="53"/>
    </row>
    <row r="173" spans="1:11" x14ac:dyDescent="0.25">
      <c r="A173" s="56"/>
      <c r="B173" s="1"/>
      <c r="C173" s="1"/>
      <c r="D173" s="1"/>
      <c r="E173" s="1"/>
      <c r="F173" s="12"/>
      <c r="G173" s="47"/>
      <c r="H173" s="1"/>
      <c r="I173" s="1"/>
      <c r="J173" s="47"/>
      <c r="K173" s="57"/>
    </row>
    <row r="174" spans="1:11" x14ac:dyDescent="0.25">
      <c r="A174" s="52"/>
      <c r="B174" s="6"/>
      <c r="C174" s="6"/>
      <c r="D174" s="6"/>
      <c r="E174" s="6"/>
      <c r="F174" s="11"/>
      <c r="G174" s="46"/>
      <c r="H174" s="6"/>
      <c r="I174" s="6"/>
      <c r="J174" s="46"/>
      <c r="K174" s="53"/>
    </row>
    <row r="175" spans="1:11" x14ac:dyDescent="0.25">
      <c r="A175" s="56"/>
      <c r="B175" s="1"/>
      <c r="C175" s="1"/>
      <c r="D175" s="1"/>
      <c r="E175" s="1"/>
      <c r="F175" s="12"/>
      <c r="G175" s="47"/>
      <c r="H175" s="1"/>
      <c r="I175" s="1"/>
      <c r="J175" s="47"/>
      <c r="K175" s="57"/>
    </row>
    <row r="176" spans="1:11" x14ac:dyDescent="0.25">
      <c r="A176" s="52"/>
      <c r="B176" s="6"/>
      <c r="C176" s="6"/>
      <c r="D176" s="6"/>
      <c r="E176" s="6"/>
      <c r="F176" s="11"/>
      <c r="G176" s="46"/>
      <c r="H176" s="6"/>
      <c r="I176" s="6"/>
      <c r="J176" s="46"/>
      <c r="K176" s="53"/>
    </row>
    <row r="177" spans="1:11" x14ac:dyDescent="0.25">
      <c r="A177" s="56"/>
      <c r="B177" s="1"/>
      <c r="C177" s="1"/>
      <c r="D177" s="1"/>
      <c r="E177" s="1"/>
      <c r="F177" s="12"/>
      <c r="G177" s="47"/>
      <c r="H177" s="1"/>
      <c r="I177" s="1"/>
      <c r="J177" s="47"/>
      <c r="K177" s="57"/>
    </row>
    <row r="178" spans="1:11" x14ac:dyDescent="0.25">
      <c r="A178" s="52"/>
      <c r="B178" s="6"/>
      <c r="C178" s="6"/>
      <c r="D178" s="6"/>
      <c r="E178" s="6"/>
      <c r="F178" s="11"/>
      <c r="G178" s="46"/>
      <c r="H178" s="6"/>
      <c r="I178" s="6"/>
      <c r="J178" s="46"/>
      <c r="K178" s="53"/>
    </row>
    <row r="179" spans="1:11" x14ac:dyDescent="0.25">
      <c r="A179" s="56"/>
      <c r="B179" s="1"/>
      <c r="C179" s="1"/>
      <c r="D179" s="1"/>
      <c r="E179" s="1"/>
      <c r="F179" s="12"/>
      <c r="G179" s="47"/>
      <c r="H179" s="1"/>
      <c r="I179" s="1"/>
      <c r="J179" s="47"/>
      <c r="K179" s="57"/>
    </row>
    <row r="180" spans="1:11" x14ac:dyDescent="0.25">
      <c r="A180" s="52"/>
      <c r="B180" s="6"/>
      <c r="C180" s="6"/>
      <c r="D180" s="6"/>
      <c r="E180" s="6"/>
      <c r="F180" s="11"/>
      <c r="G180" s="46"/>
      <c r="H180" s="6"/>
      <c r="I180" s="6"/>
      <c r="J180" s="46"/>
      <c r="K180" s="53"/>
    </row>
    <row r="181" spans="1:11" x14ac:dyDescent="0.25">
      <c r="A181" s="56"/>
      <c r="B181" s="1"/>
      <c r="C181" s="1"/>
      <c r="D181" s="1"/>
      <c r="E181" s="1"/>
      <c r="F181" s="12"/>
      <c r="G181" s="47"/>
      <c r="H181" s="1"/>
      <c r="I181" s="1"/>
      <c r="J181" s="47"/>
      <c r="K181" s="57"/>
    </row>
    <row r="182" spans="1:11" x14ac:dyDescent="0.25">
      <c r="A182" s="52"/>
      <c r="B182" s="6"/>
      <c r="C182" s="6"/>
      <c r="D182" s="6"/>
      <c r="E182" s="6"/>
      <c r="F182" s="11"/>
      <c r="G182" s="46"/>
      <c r="H182" s="6"/>
      <c r="I182" s="6"/>
      <c r="J182" s="46"/>
      <c r="K182" s="53"/>
    </row>
    <row r="183" spans="1:11" x14ac:dyDescent="0.25">
      <c r="A183" s="56"/>
      <c r="B183" s="1"/>
      <c r="C183" s="1"/>
      <c r="D183" s="1"/>
      <c r="E183" s="1"/>
      <c r="F183" s="12"/>
      <c r="G183" s="47"/>
      <c r="H183" s="1"/>
      <c r="I183" s="1"/>
      <c r="J183" s="47"/>
      <c r="K183" s="57"/>
    </row>
    <row r="184" spans="1:11" x14ac:dyDescent="0.25">
      <c r="A184" s="52"/>
      <c r="B184" s="6"/>
      <c r="C184" s="6"/>
      <c r="D184" s="6"/>
      <c r="E184" s="6"/>
      <c r="F184" s="11"/>
      <c r="G184" s="46"/>
      <c r="H184" s="6"/>
      <c r="I184" s="6"/>
      <c r="J184" s="46"/>
      <c r="K184" s="53"/>
    </row>
    <row r="185" spans="1:11" x14ac:dyDescent="0.25">
      <c r="A185" s="56"/>
      <c r="B185" s="1"/>
      <c r="C185" s="1"/>
      <c r="D185" s="1"/>
      <c r="E185" s="1"/>
      <c r="F185" s="12"/>
      <c r="G185" s="47"/>
      <c r="H185" s="1"/>
      <c r="I185" s="1"/>
      <c r="J185" s="47"/>
      <c r="K185" s="57"/>
    </row>
    <row r="186" spans="1:11" x14ac:dyDescent="0.25">
      <c r="A186" s="52"/>
      <c r="B186" s="6"/>
      <c r="C186" s="6"/>
      <c r="D186" s="6"/>
      <c r="E186" s="6"/>
      <c r="F186" s="11"/>
      <c r="G186" s="46"/>
      <c r="H186" s="6"/>
      <c r="I186" s="6"/>
      <c r="J186" s="46"/>
      <c r="K186" s="53"/>
    </row>
    <row r="187" spans="1:11" x14ac:dyDescent="0.25">
      <c r="A187" s="56"/>
      <c r="B187" s="1"/>
      <c r="C187" s="1"/>
      <c r="D187" s="1"/>
      <c r="E187" s="1"/>
      <c r="F187" s="12"/>
      <c r="G187" s="47"/>
      <c r="H187" s="1"/>
      <c r="I187" s="1"/>
      <c r="J187" s="47"/>
      <c r="K187" s="57"/>
    </row>
    <row r="188" spans="1:11" x14ac:dyDescent="0.25">
      <c r="A188" s="52"/>
      <c r="B188" s="6"/>
      <c r="C188" s="6"/>
      <c r="D188" s="6"/>
      <c r="E188" s="6"/>
      <c r="F188" s="11"/>
      <c r="G188" s="46"/>
      <c r="H188" s="6"/>
      <c r="I188" s="6"/>
      <c r="J188" s="46"/>
      <c r="K188" s="53"/>
    </row>
    <row r="189" spans="1:11" x14ac:dyDescent="0.25">
      <c r="A189" s="56"/>
      <c r="B189" s="1"/>
      <c r="C189" s="1"/>
      <c r="D189" s="1"/>
      <c r="E189" s="1"/>
      <c r="F189" s="12"/>
      <c r="G189" s="47"/>
      <c r="H189" s="1"/>
      <c r="I189" s="1"/>
      <c r="J189" s="47"/>
      <c r="K189" s="57"/>
    </row>
    <row r="190" spans="1:11" x14ac:dyDescent="0.25">
      <c r="A190" s="52"/>
      <c r="B190" s="6"/>
      <c r="C190" s="6"/>
      <c r="D190" s="6"/>
      <c r="E190" s="6"/>
      <c r="F190" s="11"/>
      <c r="G190" s="46"/>
      <c r="H190" s="6"/>
      <c r="I190" s="6"/>
      <c r="J190" s="46"/>
      <c r="K190" s="53"/>
    </row>
    <row r="191" spans="1:11" x14ac:dyDescent="0.25">
      <c r="A191" s="56"/>
      <c r="B191" s="1"/>
      <c r="C191" s="1"/>
      <c r="D191" s="1"/>
      <c r="E191" s="1"/>
      <c r="F191" s="12"/>
      <c r="G191" s="47"/>
      <c r="H191" s="1"/>
      <c r="I191" s="1"/>
      <c r="J191" s="47"/>
      <c r="K191" s="57"/>
    </row>
    <row r="192" spans="1:11" x14ac:dyDescent="0.25">
      <c r="A192" s="52"/>
      <c r="B192" s="6"/>
      <c r="C192" s="6"/>
      <c r="D192" s="6"/>
      <c r="E192" s="6"/>
      <c r="F192" s="11"/>
      <c r="G192" s="46"/>
      <c r="H192" s="6"/>
      <c r="I192" s="6"/>
      <c r="J192" s="46"/>
      <c r="K192" s="53"/>
    </row>
    <row r="193" spans="1:11" x14ac:dyDescent="0.25">
      <c r="A193" s="56"/>
      <c r="B193" s="1"/>
      <c r="C193" s="1"/>
      <c r="D193" s="1"/>
      <c r="E193" s="1"/>
      <c r="F193" s="12"/>
      <c r="G193" s="47"/>
      <c r="H193" s="1"/>
      <c r="I193" s="1"/>
      <c r="J193" s="47"/>
      <c r="K193" s="57"/>
    </row>
    <row r="194" spans="1:11" x14ac:dyDescent="0.25">
      <c r="A194" s="52"/>
      <c r="B194" s="6"/>
      <c r="C194" s="6"/>
      <c r="D194" s="6"/>
      <c r="E194" s="6"/>
      <c r="F194" s="11"/>
      <c r="G194" s="46"/>
      <c r="H194" s="6"/>
      <c r="I194" s="6"/>
      <c r="J194" s="46"/>
      <c r="K194" s="53"/>
    </row>
    <row r="195" spans="1:11" x14ac:dyDescent="0.25">
      <c r="A195" s="56"/>
      <c r="B195" s="1"/>
      <c r="C195" s="1"/>
      <c r="D195" s="1"/>
      <c r="E195" s="1"/>
      <c r="F195" s="12"/>
      <c r="G195" s="47"/>
      <c r="H195" s="1"/>
      <c r="I195" s="1"/>
      <c r="J195" s="47"/>
      <c r="K195" s="57"/>
    </row>
    <row r="196" spans="1:11" x14ac:dyDescent="0.25">
      <c r="A196" s="52"/>
      <c r="B196" s="6"/>
      <c r="C196" s="6"/>
      <c r="D196" s="6"/>
      <c r="E196" s="6"/>
      <c r="F196" s="11"/>
      <c r="G196" s="46"/>
      <c r="H196" s="6"/>
      <c r="I196" s="6"/>
      <c r="J196" s="46"/>
      <c r="K196" s="53"/>
    </row>
    <row r="197" spans="1:11" x14ac:dyDescent="0.25">
      <c r="A197" s="56"/>
      <c r="B197" s="1"/>
      <c r="C197" s="1"/>
      <c r="D197" s="1"/>
      <c r="E197" s="1"/>
      <c r="F197" s="12"/>
      <c r="G197" s="47"/>
      <c r="H197" s="1"/>
      <c r="I197" s="1"/>
      <c r="J197" s="47"/>
      <c r="K197" s="57"/>
    </row>
    <row r="198" spans="1:11" x14ac:dyDescent="0.25">
      <c r="A198" s="52"/>
      <c r="B198" s="6"/>
      <c r="C198" s="6"/>
      <c r="D198" s="6"/>
      <c r="E198" s="6"/>
      <c r="F198" s="11"/>
      <c r="G198" s="46"/>
      <c r="H198" s="6"/>
      <c r="I198" s="6"/>
      <c r="J198" s="46"/>
      <c r="K198" s="53"/>
    </row>
    <row r="199" spans="1:11" x14ac:dyDescent="0.25">
      <c r="A199" s="56"/>
      <c r="B199" s="1"/>
      <c r="C199" s="1"/>
      <c r="D199" s="1"/>
      <c r="E199" s="1"/>
      <c r="F199" s="12"/>
      <c r="G199" s="47"/>
      <c r="H199" s="1"/>
      <c r="I199" s="1"/>
      <c r="J199" s="47"/>
      <c r="K199" s="57"/>
    </row>
    <row r="200" spans="1:11" x14ac:dyDescent="0.25">
      <c r="A200" s="52"/>
      <c r="B200" s="6"/>
      <c r="C200" s="6"/>
      <c r="D200" s="6"/>
      <c r="E200" s="6"/>
      <c r="F200" s="11"/>
      <c r="G200" s="46"/>
      <c r="H200" s="6"/>
      <c r="I200" s="6"/>
      <c r="J200" s="46"/>
      <c r="K200" s="53"/>
    </row>
    <row r="201" spans="1:11" x14ac:dyDescent="0.25">
      <c r="A201" s="56"/>
      <c r="B201" s="1"/>
      <c r="C201" s="1"/>
      <c r="D201" s="1"/>
      <c r="E201" s="1"/>
      <c r="F201" s="12"/>
      <c r="G201" s="47"/>
      <c r="H201" s="1"/>
      <c r="I201" s="1"/>
      <c r="J201" s="47"/>
      <c r="K201" s="57"/>
    </row>
    <row r="202" spans="1:11" x14ac:dyDescent="0.25">
      <c r="A202" s="52"/>
      <c r="B202" s="6"/>
      <c r="C202" s="6"/>
      <c r="D202" s="6"/>
      <c r="E202" s="6"/>
      <c r="F202" s="11"/>
      <c r="G202" s="46"/>
      <c r="H202" s="6"/>
      <c r="I202" s="6"/>
      <c r="J202" s="46"/>
      <c r="K202" s="53"/>
    </row>
    <row r="203" spans="1:11" x14ac:dyDescent="0.25">
      <c r="A203" s="56"/>
      <c r="B203" s="1"/>
      <c r="C203" s="1"/>
      <c r="D203" s="1"/>
      <c r="E203" s="1"/>
      <c r="F203" s="12"/>
      <c r="G203" s="47"/>
      <c r="H203" s="1"/>
      <c r="I203" s="1"/>
      <c r="J203" s="47"/>
      <c r="K203" s="57"/>
    </row>
    <row r="204" spans="1:11" x14ac:dyDescent="0.25">
      <c r="A204" s="52"/>
      <c r="B204" s="6"/>
      <c r="C204" s="6"/>
      <c r="D204" s="6"/>
      <c r="E204" s="6"/>
      <c r="F204" s="11"/>
      <c r="G204" s="46"/>
      <c r="H204" s="6"/>
      <c r="I204" s="6"/>
      <c r="J204" s="46"/>
      <c r="K204" s="53"/>
    </row>
    <row r="205" spans="1:11" x14ac:dyDescent="0.25">
      <c r="A205" s="56"/>
      <c r="B205" s="1"/>
      <c r="C205" s="1"/>
      <c r="D205" s="1"/>
      <c r="E205" s="1"/>
      <c r="F205" s="12"/>
      <c r="G205" s="47"/>
      <c r="H205" s="1"/>
      <c r="I205" s="1"/>
      <c r="J205" s="47"/>
      <c r="K205" s="57"/>
    </row>
    <row r="206" spans="1:11" x14ac:dyDescent="0.25">
      <c r="A206" s="52"/>
      <c r="B206" s="6"/>
      <c r="C206" s="6"/>
      <c r="D206" s="6"/>
      <c r="E206" s="6"/>
      <c r="F206" s="11"/>
      <c r="G206" s="46"/>
      <c r="H206" s="6"/>
      <c r="I206" s="6"/>
      <c r="J206" s="46"/>
      <c r="K206" s="53"/>
    </row>
    <row r="207" spans="1:11" x14ac:dyDescent="0.25">
      <c r="A207" s="56"/>
      <c r="B207" s="1"/>
      <c r="C207" s="1"/>
      <c r="D207" s="1"/>
      <c r="E207" s="1"/>
      <c r="F207" s="12"/>
      <c r="G207" s="47"/>
      <c r="H207" s="1"/>
      <c r="I207" s="1"/>
      <c r="J207" s="47"/>
      <c r="K207" s="57"/>
    </row>
    <row r="208" spans="1:11" x14ac:dyDescent="0.25">
      <c r="A208" s="52"/>
      <c r="B208" s="6"/>
      <c r="C208" s="6"/>
      <c r="D208" s="6"/>
      <c r="E208" s="6"/>
      <c r="F208" s="11"/>
      <c r="G208" s="46"/>
      <c r="H208" s="6"/>
      <c r="I208" s="6"/>
      <c r="J208" s="46"/>
      <c r="K208" s="53"/>
    </row>
    <row r="209" spans="1:11" x14ac:dyDescent="0.25">
      <c r="A209" s="56"/>
      <c r="B209" s="1"/>
      <c r="C209" s="1"/>
      <c r="D209" s="1"/>
      <c r="E209" s="1"/>
      <c r="F209" s="12"/>
      <c r="G209" s="47"/>
      <c r="H209" s="1"/>
      <c r="I209" s="1"/>
      <c r="J209" s="47"/>
      <c r="K209" s="57"/>
    </row>
    <row r="210" spans="1:11" x14ac:dyDescent="0.25">
      <c r="A210" s="52"/>
      <c r="B210" s="6"/>
      <c r="C210" s="6"/>
      <c r="D210" s="6"/>
      <c r="E210" s="6"/>
      <c r="F210" s="11"/>
      <c r="G210" s="46"/>
      <c r="H210" s="6"/>
      <c r="I210" s="6"/>
      <c r="J210" s="46"/>
      <c r="K210" s="53"/>
    </row>
    <row r="211" spans="1:11" x14ac:dyDescent="0.25">
      <c r="A211" s="56"/>
      <c r="B211" s="1"/>
      <c r="C211" s="1"/>
      <c r="D211" s="1"/>
      <c r="E211" s="1"/>
      <c r="F211" s="12"/>
      <c r="G211" s="47"/>
      <c r="H211" s="1"/>
      <c r="I211" s="1"/>
      <c r="J211" s="47"/>
      <c r="K211" s="57"/>
    </row>
    <row r="212" spans="1:11" x14ac:dyDescent="0.25">
      <c r="A212" s="52"/>
      <c r="B212" s="6"/>
      <c r="C212" s="6"/>
      <c r="D212" s="6"/>
      <c r="E212" s="6"/>
      <c r="F212" s="11"/>
      <c r="G212" s="46"/>
      <c r="H212" s="6"/>
      <c r="I212" s="6"/>
      <c r="J212" s="46"/>
      <c r="K212" s="53"/>
    </row>
    <row r="213" spans="1:11" x14ac:dyDescent="0.25">
      <c r="A213" s="56"/>
      <c r="B213" s="1"/>
      <c r="C213" s="1"/>
      <c r="D213" s="1"/>
      <c r="E213" s="1"/>
      <c r="F213" s="12"/>
      <c r="G213" s="47"/>
      <c r="H213" s="1"/>
      <c r="I213" s="1"/>
      <c r="J213" s="47"/>
      <c r="K213" s="57"/>
    </row>
    <row r="214" spans="1:11" x14ac:dyDescent="0.25">
      <c r="A214" s="52"/>
      <c r="B214" s="6"/>
      <c r="C214" s="6"/>
      <c r="D214" s="6"/>
      <c r="E214" s="6"/>
      <c r="F214" s="11"/>
      <c r="G214" s="46"/>
      <c r="H214" s="6"/>
      <c r="I214" s="6"/>
      <c r="J214" s="46"/>
      <c r="K214" s="53"/>
    </row>
    <row r="215" spans="1:11" x14ac:dyDescent="0.25">
      <c r="A215" s="56"/>
      <c r="B215" s="1"/>
      <c r="C215" s="1"/>
      <c r="D215" s="1"/>
      <c r="E215" s="1"/>
      <c r="F215" s="12"/>
      <c r="G215" s="47"/>
      <c r="H215" s="1"/>
      <c r="I215" s="1"/>
      <c r="J215" s="47"/>
      <c r="K215" s="57"/>
    </row>
    <row r="216" spans="1:11" x14ac:dyDescent="0.25">
      <c r="A216" s="52"/>
      <c r="B216" s="6"/>
      <c r="C216" s="6"/>
      <c r="D216" s="6"/>
      <c r="E216" s="6"/>
      <c r="F216" s="11"/>
      <c r="G216" s="46"/>
      <c r="H216" s="6"/>
      <c r="I216" s="6"/>
      <c r="J216" s="46"/>
      <c r="K216" s="53"/>
    </row>
    <row r="217" spans="1:11" x14ac:dyDescent="0.25">
      <c r="A217" s="56"/>
      <c r="B217" s="1"/>
      <c r="C217" s="1"/>
      <c r="D217" s="1"/>
      <c r="E217" s="1"/>
      <c r="F217" s="12"/>
      <c r="G217" s="47"/>
      <c r="H217" s="1"/>
      <c r="I217" s="1"/>
      <c r="J217" s="47"/>
      <c r="K217" s="57"/>
    </row>
    <row r="218" spans="1:11" x14ac:dyDescent="0.25">
      <c r="A218" s="52"/>
      <c r="B218" s="6"/>
      <c r="C218" s="6"/>
      <c r="D218" s="6"/>
      <c r="E218" s="6"/>
      <c r="F218" s="11"/>
      <c r="G218" s="46"/>
      <c r="H218" s="6"/>
      <c r="I218" s="6"/>
      <c r="J218" s="46"/>
      <c r="K218" s="53"/>
    </row>
    <row r="219" spans="1:11" x14ac:dyDescent="0.25">
      <c r="A219" s="56"/>
      <c r="B219" s="1"/>
      <c r="C219" s="1"/>
      <c r="D219" s="1"/>
      <c r="E219" s="1"/>
      <c r="F219" s="12"/>
      <c r="G219" s="47"/>
      <c r="H219" s="1"/>
      <c r="I219" s="1"/>
      <c r="J219" s="47"/>
      <c r="K219" s="57"/>
    </row>
    <row r="220" spans="1:11" x14ac:dyDescent="0.25">
      <c r="A220" s="52"/>
      <c r="B220" s="6"/>
      <c r="C220" s="6"/>
      <c r="D220" s="6"/>
      <c r="E220" s="6"/>
      <c r="F220" s="11"/>
      <c r="G220" s="46"/>
      <c r="H220" s="6"/>
      <c r="I220" s="6"/>
      <c r="J220" s="46"/>
      <c r="K220" s="53"/>
    </row>
    <row r="221" spans="1:11" x14ac:dyDescent="0.25">
      <c r="A221" s="56"/>
      <c r="B221" s="1"/>
      <c r="C221" s="1"/>
      <c r="D221" s="1"/>
      <c r="E221" s="1"/>
      <c r="F221" s="12"/>
      <c r="G221" s="47"/>
      <c r="H221" s="1"/>
      <c r="I221" s="1"/>
      <c r="J221" s="47"/>
      <c r="K221" s="57"/>
    </row>
    <row r="222" spans="1:11" x14ac:dyDescent="0.25">
      <c r="A222" s="52"/>
      <c r="B222" s="6"/>
      <c r="C222" s="6"/>
      <c r="D222" s="6"/>
      <c r="E222" s="6"/>
      <c r="F222" s="11"/>
      <c r="G222" s="46"/>
      <c r="H222" s="6"/>
      <c r="I222" s="6"/>
      <c r="J222" s="46"/>
      <c r="K222" s="53"/>
    </row>
    <row r="223" spans="1:11" x14ac:dyDescent="0.25">
      <c r="A223" s="56"/>
      <c r="B223" s="1"/>
      <c r="C223" s="1"/>
      <c r="D223" s="1"/>
      <c r="E223" s="1"/>
      <c r="F223" s="12"/>
      <c r="G223" s="47"/>
      <c r="H223" s="1"/>
      <c r="I223" s="1"/>
      <c r="J223" s="47"/>
      <c r="K223" s="57"/>
    </row>
    <row r="224" spans="1:11" x14ac:dyDescent="0.25">
      <c r="A224" s="52"/>
      <c r="B224" s="6"/>
      <c r="C224" s="6"/>
      <c r="D224" s="6"/>
      <c r="E224" s="6"/>
      <c r="F224" s="11"/>
      <c r="G224" s="46"/>
      <c r="H224" s="6"/>
      <c r="I224" s="6"/>
      <c r="J224" s="46"/>
      <c r="K224" s="53"/>
    </row>
    <row r="225" spans="1:11" x14ac:dyDescent="0.25">
      <c r="A225" s="56"/>
      <c r="B225" s="1"/>
      <c r="C225" s="1"/>
      <c r="D225" s="1"/>
      <c r="E225" s="1"/>
      <c r="F225" s="12"/>
      <c r="G225" s="47"/>
      <c r="H225" s="1"/>
      <c r="I225" s="1"/>
      <c r="J225" s="47"/>
      <c r="K225" s="57"/>
    </row>
    <row r="226" spans="1:11" x14ac:dyDescent="0.25">
      <c r="A226" s="52"/>
      <c r="B226" s="6"/>
      <c r="C226" s="6"/>
      <c r="D226" s="6"/>
      <c r="E226" s="6"/>
      <c r="F226" s="11"/>
      <c r="G226" s="46"/>
      <c r="H226" s="6"/>
      <c r="I226" s="6"/>
      <c r="J226" s="46"/>
      <c r="K226" s="53"/>
    </row>
    <row r="227" spans="1:11" x14ac:dyDescent="0.25">
      <c r="A227" s="56"/>
      <c r="B227" s="1"/>
      <c r="C227" s="1"/>
      <c r="D227" s="1"/>
      <c r="E227" s="1"/>
      <c r="F227" s="12"/>
      <c r="G227" s="47"/>
      <c r="H227" s="1"/>
      <c r="I227" s="1"/>
      <c r="J227" s="47"/>
      <c r="K227" s="57"/>
    </row>
    <row r="228" spans="1:11" x14ac:dyDescent="0.25">
      <c r="A228" s="52"/>
      <c r="B228" s="6"/>
      <c r="C228" s="6"/>
      <c r="D228" s="6"/>
      <c r="E228" s="6"/>
      <c r="F228" s="11"/>
      <c r="G228" s="46"/>
      <c r="H228" s="6"/>
      <c r="I228" s="6"/>
      <c r="J228" s="46"/>
      <c r="K228" s="53"/>
    </row>
    <row r="229" spans="1:11" x14ac:dyDescent="0.25">
      <c r="A229" s="56"/>
      <c r="B229" s="1"/>
      <c r="C229" s="1"/>
      <c r="D229" s="1"/>
      <c r="E229" s="1"/>
      <c r="F229" s="12"/>
      <c r="G229" s="47"/>
      <c r="H229" s="1"/>
      <c r="I229" s="1"/>
      <c r="J229" s="47"/>
      <c r="K229" s="57"/>
    </row>
    <row r="230" spans="1:11" x14ac:dyDescent="0.25">
      <c r="A230" s="52"/>
      <c r="B230" s="6"/>
      <c r="C230" s="6"/>
      <c r="D230" s="6"/>
      <c r="E230" s="6"/>
      <c r="F230" s="11"/>
      <c r="G230" s="46"/>
      <c r="H230" s="6"/>
      <c r="I230" s="6"/>
      <c r="J230" s="46"/>
      <c r="K230" s="53"/>
    </row>
    <row r="231" spans="1:11" x14ac:dyDescent="0.25">
      <c r="A231" s="56"/>
      <c r="B231" s="1"/>
      <c r="C231" s="1"/>
      <c r="D231" s="1"/>
      <c r="E231" s="1"/>
      <c r="F231" s="12"/>
      <c r="G231" s="47"/>
      <c r="H231" s="1"/>
      <c r="I231" s="1"/>
      <c r="J231" s="47"/>
      <c r="K231" s="57"/>
    </row>
    <row r="232" spans="1:11" x14ac:dyDescent="0.25">
      <c r="A232" s="52"/>
      <c r="B232" s="6"/>
      <c r="C232" s="6"/>
      <c r="D232" s="6"/>
      <c r="E232" s="6"/>
      <c r="F232" s="11"/>
      <c r="G232" s="46"/>
      <c r="H232" s="6"/>
      <c r="I232" s="6"/>
      <c r="J232" s="46"/>
      <c r="K232" s="53"/>
    </row>
    <row r="233" spans="1:11" x14ac:dyDescent="0.25">
      <c r="A233" s="56"/>
      <c r="B233" s="1"/>
      <c r="C233" s="1"/>
      <c r="D233" s="1"/>
      <c r="E233" s="1"/>
      <c r="F233" s="12"/>
      <c r="G233" s="47"/>
      <c r="H233" s="1"/>
      <c r="I233" s="1"/>
      <c r="J233" s="47"/>
      <c r="K233" s="57"/>
    </row>
    <row r="234" spans="1:11" x14ac:dyDescent="0.25">
      <c r="A234" s="52"/>
      <c r="B234" s="6"/>
      <c r="C234" s="6"/>
      <c r="D234" s="6"/>
      <c r="E234" s="6"/>
      <c r="F234" s="11"/>
      <c r="G234" s="46"/>
      <c r="H234" s="6"/>
      <c r="I234" s="6"/>
      <c r="J234" s="46"/>
      <c r="K234" s="53"/>
    </row>
    <row r="235" spans="1:11" x14ac:dyDescent="0.25">
      <c r="A235" s="56"/>
      <c r="B235" s="1"/>
      <c r="C235" s="1"/>
      <c r="D235" s="1"/>
      <c r="E235" s="1"/>
      <c r="F235" s="12"/>
      <c r="G235" s="47"/>
      <c r="H235" s="1"/>
      <c r="I235" s="1"/>
      <c r="J235" s="47"/>
      <c r="K235" s="57"/>
    </row>
    <row r="236" spans="1:11" x14ac:dyDescent="0.25">
      <c r="A236" s="52"/>
      <c r="B236" s="6"/>
      <c r="C236" s="6"/>
      <c r="D236" s="6"/>
      <c r="E236" s="6"/>
      <c r="F236" s="11"/>
      <c r="G236" s="46"/>
      <c r="H236" s="6"/>
      <c r="I236" s="6"/>
      <c r="J236" s="46"/>
      <c r="K236" s="53"/>
    </row>
    <row r="237" spans="1:11" x14ac:dyDescent="0.25">
      <c r="A237" s="56"/>
      <c r="B237" s="1"/>
      <c r="C237" s="1"/>
      <c r="D237" s="1"/>
      <c r="E237" s="1"/>
      <c r="F237" s="12"/>
      <c r="G237" s="47"/>
      <c r="H237" s="1"/>
      <c r="I237" s="1"/>
      <c r="J237" s="47"/>
      <c r="K237" s="57"/>
    </row>
    <row r="238" spans="1:11" x14ac:dyDescent="0.25">
      <c r="A238" s="52"/>
      <c r="B238" s="6"/>
      <c r="C238" s="6"/>
      <c r="D238" s="6"/>
      <c r="E238" s="6"/>
      <c r="F238" s="11"/>
      <c r="G238" s="46"/>
      <c r="H238" s="6"/>
      <c r="I238" s="6"/>
      <c r="J238" s="46"/>
      <c r="K238" s="53"/>
    </row>
    <row r="239" spans="1:11" x14ac:dyDescent="0.25">
      <c r="A239" s="56"/>
      <c r="B239" s="1"/>
      <c r="C239" s="1"/>
      <c r="D239" s="1"/>
      <c r="E239" s="1"/>
      <c r="F239" s="12"/>
      <c r="G239" s="47"/>
      <c r="H239" s="1"/>
      <c r="I239" s="1"/>
      <c r="J239" s="47"/>
      <c r="K239" s="57"/>
    </row>
    <row r="240" spans="1:11" x14ac:dyDescent="0.25">
      <c r="A240" s="52"/>
      <c r="B240" s="6"/>
      <c r="C240" s="6"/>
      <c r="D240" s="6"/>
      <c r="E240" s="6"/>
      <c r="F240" s="11"/>
      <c r="G240" s="46"/>
      <c r="H240" s="6"/>
      <c r="I240" s="6"/>
      <c r="J240" s="46"/>
      <c r="K240" s="53"/>
    </row>
    <row r="241" spans="1:11" x14ac:dyDescent="0.25">
      <c r="A241" s="56"/>
      <c r="B241" s="1"/>
      <c r="C241" s="1"/>
      <c r="D241" s="1"/>
      <c r="E241" s="1"/>
      <c r="F241" s="12"/>
      <c r="G241" s="47"/>
      <c r="H241" s="1"/>
      <c r="I241" s="1"/>
      <c r="J241" s="47"/>
      <c r="K241" s="57"/>
    </row>
    <row r="242" spans="1:11" x14ac:dyDescent="0.25">
      <c r="A242" s="52"/>
      <c r="B242" s="6"/>
      <c r="C242" s="6"/>
      <c r="D242" s="6"/>
      <c r="E242" s="6"/>
      <c r="F242" s="11"/>
      <c r="G242" s="46"/>
      <c r="H242" s="6"/>
      <c r="I242" s="6"/>
      <c r="J242" s="46"/>
      <c r="K242" s="53"/>
    </row>
    <row r="243" spans="1:11" x14ac:dyDescent="0.25">
      <c r="A243" s="56"/>
      <c r="B243" s="1"/>
      <c r="C243" s="1"/>
      <c r="D243" s="1"/>
      <c r="E243" s="1"/>
      <c r="F243" s="12"/>
      <c r="G243" s="47"/>
      <c r="H243" s="1"/>
      <c r="I243" s="1"/>
      <c r="J243" s="47"/>
      <c r="K243" s="57"/>
    </row>
    <row r="244" spans="1:11" x14ac:dyDescent="0.25">
      <c r="A244" s="52"/>
      <c r="B244" s="6"/>
      <c r="C244" s="6"/>
      <c r="D244" s="6"/>
      <c r="E244" s="6"/>
      <c r="F244" s="11"/>
      <c r="G244" s="46"/>
      <c r="H244" s="6"/>
      <c r="I244" s="6"/>
      <c r="J244" s="46"/>
      <c r="K244" s="53"/>
    </row>
    <row r="245" spans="1:11" x14ac:dyDescent="0.25">
      <c r="A245" s="56"/>
      <c r="B245" s="1"/>
      <c r="C245" s="1"/>
      <c r="D245" s="1"/>
      <c r="E245" s="1"/>
      <c r="F245" s="12"/>
      <c r="G245" s="47"/>
      <c r="H245" s="1"/>
      <c r="I245" s="1"/>
      <c r="J245" s="47"/>
      <c r="K245" s="57"/>
    </row>
    <row r="246" spans="1:11" x14ac:dyDescent="0.25">
      <c r="A246" s="52"/>
      <c r="B246" s="6"/>
      <c r="C246" s="6"/>
      <c r="D246" s="6"/>
      <c r="E246" s="6"/>
      <c r="F246" s="11"/>
      <c r="G246" s="46"/>
      <c r="H246" s="6"/>
      <c r="I246" s="6"/>
      <c r="J246" s="46"/>
      <c r="K246" s="53"/>
    </row>
    <row r="247" spans="1:11" x14ac:dyDescent="0.25">
      <c r="A247" s="56"/>
      <c r="B247" s="1"/>
      <c r="C247" s="1"/>
      <c r="D247" s="1"/>
      <c r="E247" s="1"/>
      <c r="F247" s="12"/>
      <c r="G247" s="47"/>
      <c r="H247" s="1"/>
      <c r="I247" s="1"/>
      <c r="J247" s="47"/>
      <c r="K247" s="57"/>
    </row>
    <row r="248" spans="1:11" x14ac:dyDescent="0.25">
      <c r="A248" s="52"/>
      <c r="B248" s="6"/>
      <c r="C248" s="6"/>
      <c r="D248" s="6"/>
      <c r="E248" s="6"/>
      <c r="F248" s="11"/>
      <c r="G248" s="46"/>
      <c r="H248" s="6"/>
      <c r="I248" s="6"/>
      <c r="J248" s="46"/>
      <c r="K248" s="53"/>
    </row>
    <row r="249" spans="1:11" x14ac:dyDescent="0.25">
      <c r="A249" s="56"/>
      <c r="B249" s="1"/>
      <c r="C249" s="1"/>
      <c r="D249" s="1"/>
      <c r="E249" s="1"/>
      <c r="F249" s="12"/>
      <c r="G249" s="47"/>
      <c r="H249" s="1"/>
      <c r="I249" s="1"/>
      <c r="J249" s="47"/>
      <c r="K249" s="57"/>
    </row>
    <row r="250" spans="1:11" x14ac:dyDescent="0.25">
      <c r="A250" s="52"/>
      <c r="B250" s="6"/>
      <c r="C250" s="6"/>
      <c r="D250" s="6"/>
      <c r="E250" s="6"/>
      <c r="F250" s="11"/>
      <c r="G250" s="46"/>
      <c r="H250" s="6"/>
      <c r="I250" s="6"/>
      <c r="J250" s="46"/>
      <c r="K250" s="53"/>
    </row>
    <row r="251" spans="1:11" x14ac:dyDescent="0.25">
      <c r="A251" s="56"/>
      <c r="B251" s="1"/>
      <c r="C251" s="1"/>
      <c r="D251" s="1"/>
      <c r="E251" s="1"/>
      <c r="F251" s="12"/>
      <c r="G251" s="47"/>
      <c r="H251" s="1"/>
      <c r="I251" s="1"/>
      <c r="J251" s="47"/>
      <c r="K251" s="57"/>
    </row>
    <row r="252" spans="1:11" x14ac:dyDescent="0.25">
      <c r="A252" s="52"/>
      <c r="B252" s="6"/>
      <c r="C252" s="6"/>
      <c r="D252" s="6"/>
      <c r="E252" s="6"/>
      <c r="F252" s="11"/>
      <c r="G252" s="46"/>
      <c r="H252" s="6"/>
      <c r="I252" s="6"/>
      <c r="J252" s="46"/>
      <c r="K252" s="53"/>
    </row>
    <row r="253" spans="1:11" x14ac:dyDescent="0.25">
      <c r="A253" s="56"/>
      <c r="B253" s="1"/>
      <c r="C253" s="1"/>
      <c r="D253" s="1"/>
      <c r="E253" s="1"/>
      <c r="F253" s="12"/>
      <c r="G253" s="47"/>
      <c r="H253" s="1"/>
      <c r="I253" s="1"/>
      <c r="J253" s="47"/>
      <c r="K253" s="57"/>
    </row>
    <row r="254" spans="1:11" x14ac:dyDescent="0.25">
      <c r="A254" s="52"/>
      <c r="B254" s="6"/>
      <c r="C254" s="6"/>
      <c r="D254" s="6"/>
      <c r="E254" s="6"/>
      <c r="F254" s="11"/>
      <c r="G254" s="46"/>
      <c r="H254" s="6"/>
      <c r="I254" s="6"/>
      <c r="J254" s="46"/>
      <c r="K254" s="53"/>
    </row>
    <row r="255" spans="1:11" x14ac:dyDescent="0.25">
      <c r="A255" s="56"/>
      <c r="B255" s="1"/>
      <c r="C255" s="1"/>
      <c r="D255" s="1"/>
      <c r="E255" s="1"/>
      <c r="F255" s="12"/>
      <c r="G255" s="47"/>
      <c r="H255" s="1"/>
      <c r="I255" s="1"/>
      <c r="J255" s="47"/>
      <c r="K255" s="57"/>
    </row>
    <row r="256" spans="1:11" x14ac:dyDescent="0.25">
      <c r="A256" s="52"/>
      <c r="B256" s="6"/>
      <c r="C256" s="6"/>
      <c r="D256" s="6"/>
      <c r="E256" s="6"/>
      <c r="F256" s="11"/>
      <c r="G256" s="46"/>
      <c r="H256" s="6"/>
      <c r="I256" s="6"/>
      <c r="J256" s="46"/>
      <c r="K256" s="53"/>
    </row>
    <row r="257" spans="1:11" x14ac:dyDescent="0.25">
      <c r="A257" s="56"/>
      <c r="B257" s="1"/>
      <c r="C257" s="1"/>
      <c r="D257" s="1"/>
      <c r="E257" s="1"/>
      <c r="F257" s="12"/>
      <c r="G257" s="47"/>
      <c r="H257" s="1"/>
      <c r="I257" s="1"/>
      <c r="J257" s="47"/>
      <c r="K257" s="57"/>
    </row>
    <row r="258" spans="1:11" x14ac:dyDescent="0.25">
      <c r="A258" s="52"/>
      <c r="B258" s="6"/>
      <c r="C258" s="6"/>
      <c r="D258" s="6"/>
      <c r="E258" s="6"/>
      <c r="F258" s="11"/>
      <c r="G258" s="46"/>
      <c r="H258" s="6"/>
      <c r="I258" s="6"/>
      <c r="J258" s="46"/>
      <c r="K258" s="53"/>
    </row>
    <row r="259" spans="1:11" x14ac:dyDescent="0.25">
      <c r="A259" s="56"/>
      <c r="B259" s="1"/>
      <c r="C259" s="1"/>
      <c r="D259" s="1"/>
      <c r="E259" s="1"/>
      <c r="F259" s="12"/>
      <c r="G259" s="47"/>
      <c r="H259" s="1"/>
      <c r="I259" s="1"/>
      <c r="J259" s="47"/>
      <c r="K259" s="57"/>
    </row>
    <row r="260" spans="1:11" x14ac:dyDescent="0.25">
      <c r="A260" s="52"/>
      <c r="B260" s="6"/>
      <c r="C260" s="6"/>
      <c r="D260" s="6"/>
      <c r="E260" s="6"/>
      <c r="F260" s="11"/>
      <c r="G260" s="46"/>
      <c r="H260" s="6"/>
      <c r="I260" s="6"/>
      <c r="J260" s="46"/>
      <c r="K260" s="53"/>
    </row>
    <row r="261" spans="1:11" x14ac:dyDescent="0.25">
      <c r="A261" s="56"/>
      <c r="B261" s="1"/>
      <c r="C261" s="1"/>
      <c r="D261" s="1"/>
      <c r="E261" s="1"/>
      <c r="F261" s="12"/>
      <c r="G261" s="47"/>
      <c r="H261" s="1"/>
      <c r="I261" s="1"/>
      <c r="J261" s="47"/>
      <c r="K261" s="57"/>
    </row>
    <row r="262" spans="1:11" x14ac:dyDescent="0.25">
      <c r="A262" s="52"/>
      <c r="B262" s="6"/>
      <c r="C262" s="6"/>
      <c r="D262" s="6"/>
      <c r="E262" s="6"/>
      <c r="F262" s="11"/>
      <c r="G262" s="46"/>
      <c r="H262" s="6"/>
      <c r="I262" s="6"/>
      <c r="J262" s="46"/>
      <c r="K262" s="53"/>
    </row>
    <row r="263" spans="1:11" x14ac:dyDescent="0.25">
      <c r="A263" s="56"/>
      <c r="B263" s="1"/>
      <c r="C263" s="1"/>
      <c r="D263" s="1"/>
      <c r="E263" s="1"/>
      <c r="F263" s="12"/>
      <c r="G263" s="47"/>
      <c r="H263" s="1"/>
      <c r="I263" s="1"/>
      <c r="J263" s="47"/>
      <c r="K263" s="57"/>
    </row>
    <row r="264" spans="1:11" x14ac:dyDescent="0.25">
      <c r="A264" s="52"/>
      <c r="B264" s="6"/>
      <c r="C264" s="6"/>
      <c r="D264" s="6"/>
      <c r="E264" s="6"/>
      <c r="F264" s="11"/>
      <c r="G264" s="46"/>
      <c r="H264" s="6"/>
      <c r="I264" s="6"/>
      <c r="J264" s="46"/>
      <c r="K264" s="53"/>
    </row>
    <row r="265" spans="1:11" x14ac:dyDescent="0.25">
      <c r="A265" s="56"/>
      <c r="B265" s="1"/>
      <c r="C265" s="1"/>
      <c r="D265" s="1"/>
      <c r="E265" s="1"/>
      <c r="F265" s="12"/>
      <c r="G265" s="47"/>
      <c r="H265" s="1"/>
      <c r="I265" s="1"/>
      <c r="J265" s="47"/>
      <c r="K265" s="57"/>
    </row>
    <row r="266" spans="1:11" x14ac:dyDescent="0.25">
      <c r="A266" s="52"/>
      <c r="B266" s="6"/>
      <c r="C266" s="6"/>
      <c r="D266" s="6"/>
      <c r="E266" s="6"/>
      <c r="F266" s="11"/>
      <c r="G266" s="46"/>
      <c r="H266" s="6"/>
      <c r="I266" s="6"/>
      <c r="J266" s="46"/>
      <c r="K266" s="53"/>
    </row>
    <row r="267" spans="1:11" x14ac:dyDescent="0.25">
      <c r="A267" s="56"/>
      <c r="B267" s="1"/>
      <c r="C267" s="1"/>
      <c r="D267" s="1"/>
      <c r="E267" s="1"/>
      <c r="F267" s="12"/>
      <c r="G267" s="47"/>
      <c r="H267" s="1"/>
      <c r="I267" s="1"/>
      <c r="J267" s="47"/>
      <c r="K267" s="57"/>
    </row>
    <row r="268" spans="1:11" x14ac:dyDescent="0.25">
      <c r="A268" s="52"/>
      <c r="B268" s="6"/>
      <c r="C268" s="6"/>
      <c r="D268" s="6"/>
      <c r="E268" s="6"/>
      <c r="F268" s="11"/>
      <c r="G268" s="46"/>
      <c r="H268" s="6"/>
      <c r="I268" s="6"/>
      <c r="J268" s="46"/>
      <c r="K268" s="53"/>
    </row>
    <row r="269" spans="1:11" x14ac:dyDescent="0.25">
      <c r="A269" s="56"/>
      <c r="B269" s="1"/>
      <c r="C269" s="1"/>
      <c r="D269" s="1"/>
      <c r="E269" s="1"/>
      <c r="F269" s="12"/>
      <c r="G269" s="47"/>
      <c r="H269" s="1"/>
      <c r="I269" s="1"/>
      <c r="J269" s="47"/>
      <c r="K269" s="57"/>
    </row>
    <row r="270" spans="1:11" x14ac:dyDescent="0.25">
      <c r="A270" s="52"/>
      <c r="B270" s="6"/>
      <c r="C270" s="6"/>
      <c r="D270" s="6"/>
      <c r="E270" s="6"/>
      <c r="F270" s="11"/>
      <c r="G270" s="46"/>
      <c r="H270" s="6"/>
      <c r="I270" s="6"/>
      <c r="J270" s="46"/>
      <c r="K270" s="53"/>
    </row>
    <row r="271" spans="1:11" x14ac:dyDescent="0.25">
      <c r="A271" s="56"/>
      <c r="B271" s="1"/>
      <c r="C271" s="1"/>
      <c r="D271" s="1"/>
      <c r="E271" s="1"/>
      <c r="F271" s="12"/>
      <c r="G271" s="1"/>
      <c r="H271" s="1"/>
      <c r="I271" s="1"/>
      <c r="J271" s="47"/>
      <c r="K271" s="57"/>
    </row>
    <row r="272" spans="1:11" x14ac:dyDescent="0.25">
      <c r="J272" s="62"/>
    </row>
    <row r="273" spans="10:10" x14ac:dyDescent="0.25">
      <c r="J273" s="62"/>
    </row>
    <row r="274" spans="10:10" x14ac:dyDescent="0.25">
      <c r="J274" s="62"/>
    </row>
    <row r="275" spans="10:10" x14ac:dyDescent="0.25">
      <c r="J275" s="62"/>
    </row>
    <row r="276" spans="10:10" x14ac:dyDescent="0.25">
      <c r="J276" s="62"/>
    </row>
    <row r="277" spans="10:10" x14ac:dyDescent="0.25">
      <c r="J277" s="62"/>
    </row>
    <row r="278" spans="10:10" x14ac:dyDescent="0.25">
      <c r="J278" s="62"/>
    </row>
    <row r="279" spans="10:10" x14ac:dyDescent="0.25">
      <c r="J279" s="62"/>
    </row>
    <row r="280" spans="10:10" x14ac:dyDescent="0.25">
      <c r="J280" s="62"/>
    </row>
    <row r="281" spans="10:10" x14ac:dyDescent="0.25">
      <c r="J281" s="62"/>
    </row>
    <row r="282" spans="10:10" x14ac:dyDescent="0.25">
      <c r="J282" s="62"/>
    </row>
    <row r="283" spans="10:10" x14ac:dyDescent="0.25">
      <c r="J283" s="62"/>
    </row>
    <row r="284" spans="10:10" x14ac:dyDescent="0.25">
      <c r="J284" s="62"/>
    </row>
    <row r="285" spans="10:10" x14ac:dyDescent="0.25">
      <c r="J285" s="62"/>
    </row>
    <row r="286" spans="10:10" x14ac:dyDescent="0.25">
      <c r="J286" s="62"/>
    </row>
    <row r="287" spans="10:10" x14ac:dyDescent="0.25">
      <c r="J287" s="62"/>
    </row>
    <row r="288" spans="10:10" x14ac:dyDescent="0.25">
      <c r="J288" s="62"/>
    </row>
    <row r="289" spans="10:10" x14ac:dyDescent="0.25">
      <c r="J289" s="62"/>
    </row>
    <row r="290" spans="10:10" x14ac:dyDescent="0.25">
      <c r="J290" s="62"/>
    </row>
    <row r="291" spans="10:10" x14ac:dyDescent="0.25">
      <c r="J291" s="62"/>
    </row>
    <row r="292" spans="10:10" x14ac:dyDescent="0.25">
      <c r="J292" s="62"/>
    </row>
    <row r="293" spans="10:10" x14ac:dyDescent="0.25">
      <c r="J293" s="62"/>
    </row>
    <row r="294" spans="10:10" x14ac:dyDescent="0.25">
      <c r="J294" s="62"/>
    </row>
    <row r="295" spans="10:10" x14ac:dyDescent="0.25">
      <c r="J295" s="62"/>
    </row>
    <row r="296" spans="10:10" x14ac:dyDescent="0.25">
      <c r="J296" s="62"/>
    </row>
    <row r="297" spans="10:10" x14ac:dyDescent="0.25">
      <c r="J297" s="62"/>
    </row>
    <row r="298" spans="10:10" x14ac:dyDescent="0.25">
      <c r="J298" s="62"/>
    </row>
    <row r="299" spans="10:10" x14ac:dyDescent="0.25">
      <c r="J299" s="62"/>
    </row>
    <row r="300" spans="10:10" x14ac:dyDescent="0.25">
      <c r="J300" s="62"/>
    </row>
    <row r="301" spans="10:10" x14ac:dyDescent="0.25">
      <c r="J301" s="62"/>
    </row>
    <row r="302" spans="10:10" x14ac:dyDescent="0.25">
      <c r="J302" s="62"/>
    </row>
    <row r="303" spans="10:10" x14ac:dyDescent="0.25">
      <c r="J303" s="62"/>
    </row>
    <row r="304" spans="10:10" x14ac:dyDescent="0.25">
      <c r="J304" s="62"/>
    </row>
    <row r="305" spans="10:10" x14ac:dyDescent="0.25">
      <c r="J305" s="62"/>
    </row>
    <row r="306" spans="10:10" x14ac:dyDescent="0.25">
      <c r="J306" s="62"/>
    </row>
    <row r="307" spans="10:10" x14ac:dyDescent="0.25">
      <c r="J307" s="62"/>
    </row>
    <row r="308" spans="10:10" x14ac:dyDescent="0.25">
      <c r="J308" s="62"/>
    </row>
    <row r="309" spans="10:10" x14ac:dyDescent="0.25">
      <c r="J309" s="62"/>
    </row>
    <row r="310" spans="10:10" x14ac:dyDescent="0.25">
      <c r="J310" s="62"/>
    </row>
    <row r="311" spans="10:10" x14ac:dyDescent="0.25">
      <c r="J311" s="62"/>
    </row>
    <row r="312" spans="10:10" x14ac:dyDescent="0.25">
      <c r="J312" s="62"/>
    </row>
    <row r="313" spans="10:10" x14ac:dyDescent="0.25">
      <c r="J313" s="62"/>
    </row>
    <row r="314" spans="10:10" x14ac:dyDescent="0.25">
      <c r="J314" s="62"/>
    </row>
    <row r="315" spans="10:10" x14ac:dyDescent="0.25">
      <c r="J315" s="62"/>
    </row>
    <row r="316" spans="10:10" x14ac:dyDescent="0.25">
      <c r="J316" s="62"/>
    </row>
    <row r="317" spans="10:10" x14ac:dyDescent="0.25">
      <c r="J317" s="62"/>
    </row>
    <row r="318" spans="10:10" x14ac:dyDescent="0.25">
      <c r="J318" s="62"/>
    </row>
    <row r="319" spans="10:10" x14ac:dyDescent="0.25">
      <c r="J319" s="62"/>
    </row>
    <row r="320" spans="10:10" x14ac:dyDescent="0.25">
      <c r="J320" s="62"/>
    </row>
    <row r="321" spans="10:10" x14ac:dyDescent="0.25">
      <c r="J321" s="62"/>
    </row>
    <row r="322" spans="10:10" x14ac:dyDescent="0.25">
      <c r="J322" s="62"/>
    </row>
    <row r="323" spans="10:10" x14ac:dyDescent="0.25">
      <c r="J323" s="62"/>
    </row>
    <row r="324" spans="10:10" x14ac:dyDescent="0.25">
      <c r="J324" s="62"/>
    </row>
    <row r="325" spans="10:10" x14ac:dyDescent="0.25">
      <c r="J325" s="62"/>
    </row>
    <row r="326" spans="10:10" x14ac:dyDescent="0.25">
      <c r="J326" s="62"/>
    </row>
    <row r="327" spans="10:10" x14ac:dyDescent="0.25">
      <c r="J327" s="62"/>
    </row>
    <row r="328" spans="10:10" x14ac:dyDescent="0.25">
      <c r="J328" s="62"/>
    </row>
    <row r="329" spans="10:10" x14ac:dyDescent="0.25">
      <c r="J329" s="62"/>
    </row>
    <row r="330" spans="10:10" x14ac:dyDescent="0.25">
      <c r="J330" s="62"/>
    </row>
    <row r="331" spans="10:10" x14ac:dyDescent="0.25">
      <c r="J331" s="62"/>
    </row>
    <row r="332" spans="10:10" x14ac:dyDescent="0.25">
      <c r="J332" s="62"/>
    </row>
    <row r="333" spans="10:10" x14ac:dyDescent="0.25">
      <c r="J333" s="62"/>
    </row>
    <row r="334" spans="10:10" x14ac:dyDescent="0.25">
      <c r="J334" s="62"/>
    </row>
    <row r="335" spans="10:10" x14ac:dyDescent="0.25">
      <c r="J335" s="62"/>
    </row>
    <row r="336" spans="10:10" x14ac:dyDescent="0.25">
      <c r="J336" s="62"/>
    </row>
    <row r="337" spans="10:10" x14ac:dyDescent="0.25">
      <c r="J337" s="62"/>
    </row>
    <row r="338" spans="10:10" x14ac:dyDescent="0.25">
      <c r="J338" s="62"/>
    </row>
    <row r="339" spans="10:10" x14ac:dyDescent="0.25">
      <c r="J339" s="62"/>
    </row>
    <row r="340" spans="10:10" x14ac:dyDescent="0.25">
      <c r="J340" s="62"/>
    </row>
    <row r="341" spans="10:10" x14ac:dyDescent="0.25">
      <c r="J341" s="62"/>
    </row>
    <row r="342" spans="10:10" x14ac:dyDescent="0.25">
      <c r="J342" s="62"/>
    </row>
    <row r="343" spans="10:10" x14ac:dyDescent="0.25">
      <c r="J343" s="62"/>
    </row>
    <row r="344" spans="10:10" x14ac:dyDescent="0.25">
      <c r="J344" s="62"/>
    </row>
    <row r="345" spans="10:10" x14ac:dyDescent="0.25">
      <c r="J345" s="62"/>
    </row>
    <row r="346" spans="10:10" x14ac:dyDescent="0.25">
      <c r="J346" s="62"/>
    </row>
    <row r="347" spans="10:10" x14ac:dyDescent="0.25">
      <c r="J347" s="62"/>
    </row>
    <row r="348" spans="10:10" x14ac:dyDescent="0.25">
      <c r="J348" s="62"/>
    </row>
    <row r="349" spans="10:10" x14ac:dyDescent="0.25">
      <c r="J349" s="62"/>
    </row>
    <row r="350" spans="10:10" x14ac:dyDescent="0.25">
      <c r="J350" s="62"/>
    </row>
    <row r="351" spans="10:10" x14ac:dyDescent="0.25">
      <c r="J351" s="62"/>
    </row>
    <row r="352" spans="10:10" x14ac:dyDescent="0.25">
      <c r="J352" s="62"/>
    </row>
    <row r="353" spans="10:10" x14ac:dyDescent="0.25">
      <c r="J353" s="62"/>
    </row>
    <row r="354" spans="10:10" x14ac:dyDescent="0.25">
      <c r="J354" s="62"/>
    </row>
    <row r="355" spans="10:10" x14ac:dyDescent="0.25">
      <c r="J355" s="62"/>
    </row>
    <row r="356" spans="10:10" x14ac:dyDescent="0.25">
      <c r="J356" s="62"/>
    </row>
    <row r="357" spans="10:10" x14ac:dyDescent="0.25">
      <c r="J357" s="62"/>
    </row>
    <row r="358" spans="10:10" x14ac:dyDescent="0.25">
      <c r="J358" s="62"/>
    </row>
    <row r="359" spans="10:10" x14ac:dyDescent="0.25">
      <c r="J359" s="62"/>
    </row>
    <row r="360" spans="10:10" x14ac:dyDescent="0.25">
      <c r="J360" s="62"/>
    </row>
    <row r="361" spans="10:10" x14ac:dyDescent="0.25">
      <c r="J361" s="62"/>
    </row>
    <row r="362" spans="10:10" x14ac:dyDescent="0.25">
      <c r="J362" s="62"/>
    </row>
    <row r="363" spans="10:10" x14ac:dyDescent="0.25">
      <c r="J363" s="62"/>
    </row>
    <row r="364" spans="10:10" x14ac:dyDescent="0.25">
      <c r="J364" s="62"/>
    </row>
    <row r="365" spans="10:10" x14ac:dyDescent="0.25">
      <c r="J365" s="62"/>
    </row>
    <row r="366" spans="10:10" x14ac:dyDescent="0.25">
      <c r="J366" s="62"/>
    </row>
    <row r="367" spans="10:10" x14ac:dyDescent="0.25">
      <c r="J367" s="62"/>
    </row>
    <row r="368" spans="10:10" x14ac:dyDescent="0.25">
      <c r="J368" s="62"/>
    </row>
    <row r="369" spans="10:10" x14ac:dyDescent="0.25">
      <c r="J369" s="62"/>
    </row>
    <row r="370" spans="10:10" x14ac:dyDescent="0.25">
      <c r="J370" s="62"/>
    </row>
    <row r="371" spans="10:10" x14ac:dyDescent="0.25">
      <c r="J371" s="62"/>
    </row>
    <row r="372" spans="10:10" x14ac:dyDescent="0.25">
      <c r="J372" s="62"/>
    </row>
    <row r="373" spans="10:10" x14ac:dyDescent="0.25">
      <c r="J373" s="62"/>
    </row>
    <row r="374" spans="10:10" x14ac:dyDescent="0.25">
      <c r="J374" s="62"/>
    </row>
    <row r="375" spans="10:10" x14ac:dyDescent="0.25">
      <c r="J375" s="62"/>
    </row>
    <row r="376" spans="10:10" x14ac:dyDescent="0.25">
      <c r="J376" s="62"/>
    </row>
    <row r="377" spans="10:10" x14ac:dyDescent="0.25">
      <c r="J377" s="62"/>
    </row>
    <row r="378" spans="10:10" x14ac:dyDescent="0.25">
      <c r="J378" s="62"/>
    </row>
    <row r="379" spans="10:10" x14ac:dyDescent="0.25">
      <c r="J379" s="62"/>
    </row>
    <row r="380" spans="10:10" x14ac:dyDescent="0.25">
      <c r="J380" s="62"/>
    </row>
    <row r="381" spans="10:10" x14ac:dyDescent="0.25">
      <c r="J381" s="62"/>
    </row>
    <row r="382" spans="10:10" x14ac:dyDescent="0.25">
      <c r="J382" s="62"/>
    </row>
    <row r="383" spans="10:10" x14ac:dyDescent="0.25">
      <c r="J383" s="62"/>
    </row>
    <row r="384" spans="10:10" x14ac:dyDescent="0.25">
      <c r="J384" s="62"/>
    </row>
    <row r="385" spans="10:10" x14ac:dyDescent="0.25">
      <c r="J385" s="62"/>
    </row>
    <row r="386" spans="10:10" x14ac:dyDescent="0.25">
      <c r="J386" s="62"/>
    </row>
    <row r="387" spans="10:10" x14ac:dyDescent="0.25">
      <c r="J387" s="62"/>
    </row>
    <row r="388" spans="10:10" x14ac:dyDescent="0.25">
      <c r="J388" s="62"/>
    </row>
    <row r="389" spans="10:10" x14ac:dyDescent="0.25">
      <c r="J389" s="62"/>
    </row>
    <row r="390" spans="10:10" x14ac:dyDescent="0.25">
      <c r="J390" s="62"/>
    </row>
    <row r="391" spans="10:10" x14ac:dyDescent="0.25">
      <c r="J391" s="62"/>
    </row>
    <row r="392" spans="10:10" x14ac:dyDescent="0.25">
      <c r="J392" s="62"/>
    </row>
    <row r="393" spans="10:10" x14ac:dyDescent="0.25">
      <c r="J393" s="62"/>
    </row>
    <row r="394" spans="10:10" x14ac:dyDescent="0.25">
      <c r="J394" s="62"/>
    </row>
    <row r="395" spans="10:10" x14ac:dyDescent="0.25">
      <c r="J395" s="62"/>
    </row>
    <row r="396" spans="10:10" x14ac:dyDescent="0.25">
      <c r="J396" s="62"/>
    </row>
    <row r="397" spans="10:10" x14ac:dyDescent="0.25">
      <c r="J397" s="62"/>
    </row>
    <row r="398" spans="10:10" x14ac:dyDescent="0.25">
      <c r="J398" s="62"/>
    </row>
    <row r="399" spans="10:10" x14ac:dyDescent="0.25">
      <c r="J399" s="62"/>
    </row>
    <row r="400" spans="10:10" x14ac:dyDescent="0.25">
      <c r="J400" s="62"/>
    </row>
    <row r="401" spans="10:10" x14ac:dyDescent="0.25">
      <c r="J401" s="62"/>
    </row>
    <row r="402" spans="10:10" x14ac:dyDescent="0.25">
      <c r="J402" s="62"/>
    </row>
    <row r="403" spans="10:10" x14ac:dyDescent="0.25">
      <c r="J403" s="62"/>
    </row>
    <row r="404" spans="10:10" x14ac:dyDescent="0.25">
      <c r="J404" s="62"/>
    </row>
    <row r="405" spans="10:10" x14ac:dyDescent="0.25">
      <c r="J405" s="62"/>
    </row>
    <row r="406" spans="10:10" x14ac:dyDescent="0.25">
      <c r="J406" s="62"/>
    </row>
    <row r="407" spans="10:10" x14ac:dyDescent="0.25">
      <c r="J407" s="62"/>
    </row>
    <row r="408" spans="10:10" x14ac:dyDescent="0.25">
      <c r="J408" s="62"/>
    </row>
    <row r="409" spans="10:10" x14ac:dyDescent="0.25">
      <c r="J409" s="62"/>
    </row>
    <row r="410" spans="10:10" x14ac:dyDescent="0.25">
      <c r="J410" s="62"/>
    </row>
    <row r="411" spans="10:10" x14ac:dyDescent="0.25">
      <c r="J411" s="62"/>
    </row>
    <row r="412" spans="10:10" x14ac:dyDescent="0.25">
      <c r="J412" s="62"/>
    </row>
    <row r="413" spans="10:10" x14ac:dyDescent="0.25">
      <c r="J413" s="62"/>
    </row>
    <row r="414" spans="10:10" x14ac:dyDescent="0.25">
      <c r="J414" s="62"/>
    </row>
    <row r="415" spans="10:10" x14ac:dyDescent="0.25">
      <c r="J415" s="62"/>
    </row>
    <row r="416" spans="10:10" x14ac:dyDescent="0.25">
      <c r="J416" s="62"/>
    </row>
    <row r="417" spans="10:10" x14ac:dyDescent="0.25">
      <c r="J417" s="62"/>
    </row>
    <row r="418" spans="10:10" x14ac:dyDescent="0.25">
      <c r="J418" s="62"/>
    </row>
    <row r="419" spans="10:10" x14ac:dyDescent="0.25">
      <c r="J419" s="62"/>
    </row>
    <row r="420" spans="10:10" x14ac:dyDescent="0.25">
      <c r="J420" s="62"/>
    </row>
    <row r="421" spans="10:10" x14ac:dyDescent="0.25">
      <c r="J421" s="62"/>
    </row>
    <row r="422" spans="10:10" x14ac:dyDescent="0.25">
      <c r="J422" s="62"/>
    </row>
    <row r="423" spans="10:10" x14ac:dyDescent="0.25">
      <c r="J423" s="62"/>
    </row>
    <row r="424" spans="10:10" x14ac:dyDescent="0.25">
      <c r="J424" s="62"/>
    </row>
    <row r="425" spans="10:10" x14ac:dyDescent="0.25">
      <c r="J425" s="62"/>
    </row>
    <row r="426" spans="10:10" x14ac:dyDescent="0.25">
      <c r="J426" s="62"/>
    </row>
    <row r="427" spans="10:10" x14ac:dyDescent="0.25">
      <c r="J427" s="62"/>
    </row>
    <row r="428" spans="10:10" x14ac:dyDescent="0.25">
      <c r="J428" s="62"/>
    </row>
    <row r="429" spans="10:10" x14ac:dyDescent="0.25">
      <c r="J429" s="62"/>
    </row>
    <row r="430" spans="10:10" x14ac:dyDescent="0.25">
      <c r="J430" s="62"/>
    </row>
    <row r="431" spans="10:10" x14ac:dyDescent="0.25">
      <c r="J431" s="62"/>
    </row>
    <row r="432" spans="10:10" x14ac:dyDescent="0.25">
      <c r="J432" s="62"/>
    </row>
    <row r="433" spans="10:10" x14ac:dyDescent="0.25">
      <c r="J433" s="62"/>
    </row>
    <row r="434" spans="10:10" x14ac:dyDescent="0.25">
      <c r="J434" s="62"/>
    </row>
    <row r="435" spans="10:10" x14ac:dyDescent="0.25">
      <c r="J435" s="62"/>
    </row>
    <row r="436" spans="10:10" x14ac:dyDescent="0.25">
      <c r="J436" s="62"/>
    </row>
    <row r="437" spans="10:10" x14ac:dyDescent="0.25">
      <c r="J437" s="62"/>
    </row>
    <row r="438" spans="10:10" x14ac:dyDescent="0.25">
      <c r="J438" s="62"/>
    </row>
    <row r="439" spans="10:10" x14ac:dyDescent="0.25">
      <c r="J439" s="62"/>
    </row>
    <row r="440" spans="10:10" x14ac:dyDescent="0.25">
      <c r="J440" s="62"/>
    </row>
    <row r="441" spans="10:10" x14ac:dyDescent="0.25">
      <c r="J441" s="62"/>
    </row>
    <row r="442" spans="10:10" x14ac:dyDescent="0.25">
      <c r="J442" s="62"/>
    </row>
    <row r="443" spans="10:10" x14ac:dyDescent="0.25">
      <c r="J443" s="62"/>
    </row>
    <row r="444" spans="10:10" x14ac:dyDescent="0.25">
      <c r="J444" s="62"/>
    </row>
    <row r="445" spans="10:10" x14ac:dyDescent="0.25">
      <c r="J445" s="62"/>
    </row>
    <row r="446" spans="10:10" x14ac:dyDescent="0.25">
      <c r="J446" s="62"/>
    </row>
    <row r="447" spans="10:10" x14ac:dyDescent="0.25">
      <c r="J447" s="62"/>
    </row>
    <row r="448" spans="10:10" x14ac:dyDescent="0.25">
      <c r="J448" s="62"/>
    </row>
    <row r="449" spans="10:10" x14ac:dyDescent="0.25">
      <c r="J449" s="62"/>
    </row>
    <row r="450" spans="10:10" x14ac:dyDescent="0.25">
      <c r="J450" s="62"/>
    </row>
    <row r="451" spans="10:10" x14ac:dyDescent="0.25">
      <c r="J451" s="62"/>
    </row>
    <row r="452" spans="10:10" x14ac:dyDescent="0.25">
      <c r="J452" s="62"/>
    </row>
    <row r="453" spans="10:10" x14ac:dyDescent="0.25">
      <c r="J453" s="62"/>
    </row>
    <row r="454" spans="10:10" x14ac:dyDescent="0.25">
      <c r="J454" s="62"/>
    </row>
    <row r="455" spans="10:10" x14ac:dyDescent="0.25">
      <c r="J455" s="62"/>
    </row>
    <row r="456" spans="10:10" x14ac:dyDescent="0.25">
      <c r="J456" s="62"/>
    </row>
    <row r="457" spans="10:10" x14ac:dyDescent="0.25">
      <c r="J457" s="62"/>
    </row>
    <row r="458" spans="10:10" x14ac:dyDescent="0.25">
      <c r="J458" s="62"/>
    </row>
    <row r="459" spans="10:10" x14ac:dyDescent="0.25">
      <c r="J459" s="62"/>
    </row>
    <row r="460" spans="10:10" x14ac:dyDescent="0.25">
      <c r="J460" s="62"/>
    </row>
    <row r="461" spans="10:10" x14ac:dyDescent="0.25">
      <c r="J461" s="62"/>
    </row>
    <row r="462" spans="10:10" x14ac:dyDescent="0.25">
      <c r="J462" s="62"/>
    </row>
    <row r="463" spans="10:10" x14ac:dyDescent="0.25">
      <c r="J463" s="62"/>
    </row>
    <row r="464" spans="10:10" x14ac:dyDescent="0.25">
      <c r="J464" s="62"/>
    </row>
    <row r="465" spans="10:10" x14ac:dyDescent="0.25">
      <c r="J465" s="62"/>
    </row>
    <row r="466" spans="10:10" x14ac:dyDescent="0.25">
      <c r="J466" s="62"/>
    </row>
    <row r="467" spans="10:10" x14ac:dyDescent="0.25">
      <c r="J467" s="62"/>
    </row>
    <row r="468" spans="10:10" x14ac:dyDescent="0.25">
      <c r="J468" s="62"/>
    </row>
    <row r="469" spans="10:10" x14ac:dyDescent="0.25">
      <c r="J469" s="62"/>
    </row>
    <row r="470" spans="10:10" x14ac:dyDescent="0.25">
      <c r="J470" s="62"/>
    </row>
    <row r="471" spans="10:10" x14ac:dyDescent="0.25">
      <c r="J471" s="62"/>
    </row>
    <row r="472" spans="10:10" x14ac:dyDescent="0.25">
      <c r="J472" s="62"/>
    </row>
    <row r="473" spans="10:10" x14ac:dyDescent="0.25">
      <c r="J473" s="62"/>
    </row>
    <row r="474" spans="10:10" x14ac:dyDescent="0.25">
      <c r="J474" s="62"/>
    </row>
    <row r="475" spans="10:10" x14ac:dyDescent="0.25">
      <c r="J475" s="62"/>
    </row>
    <row r="476" spans="10:10" x14ac:dyDescent="0.25">
      <c r="J476" s="62"/>
    </row>
    <row r="477" spans="10:10" x14ac:dyDescent="0.25">
      <c r="J477" s="62"/>
    </row>
    <row r="478" spans="10:10" x14ac:dyDescent="0.25">
      <c r="J478" s="62"/>
    </row>
    <row r="479" spans="10:10" x14ac:dyDescent="0.25">
      <c r="J479" s="62"/>
    </row>
    <row r="480" spans="10:10" x14ac:dyDescent="0.25">
      <c r="J480" s="62"/>
    </row>
    <row r="481" spans="10:10" x14ac:dyDescent="0.25">
      <c r="J481" s="62"/>
    </row>
    <row r="482" spans="10:10" x14ac:dyDescent="0.25">
      <c r="J482" s="62"/>
    </row>
    <row r="483" spans="10:10" x14ac:dyDescent="0.25">
      <c r="J483" s="62"/>
    </row>
    <row r="484" spans="10:10" x14ac:dyDescent="0.25">
      <c r="J484" s="62"/>
    </row>
    <row r="485" spans="10:10" x14ac:dyDescent="0.25">
      <c r="J485" s="62"/>
    </row>
    <row r="486" spans="10:10" x14ac:dyDescent="0.25">
      <c r="J486" s="62"/>
    </row>
    <row r="487" spans="10:10" x14ac:dyDescent="0.25">
      <c r="J487" s="62"/>
    </row>
    <row r="488" spans="10:10" x14ac:dyDescent="0.25">
      <c r="J488" s="62"/>
    </row>
    <row r="489" spans="10:10" x14ac:dyDescent="0.25">
      <c r="J489" s="62"/>
    </row>
    <row r="490" spans="10:10" x14ac:dyDescent="0.25">
      <c r="J490" s="62"/>
    </row>
    <row r="491" spans="10:10" x14ac:dyDescent="0.25">
      <c r="J491" s="62"/>
    </row>
    <row r="492" spans="10:10" x14ac:dyDescent="0.25">
      <c r="J492" s="62"/>
    </row>
    <row r="493" spans="10:10" x14ac:dyDescent="0.25">
      <c r="J493" s="62"/>
    </row>
    <row r="494" spans="10:10" x14ac:dyDescent="0.25">
      <c r="J494" s="62"/>
    </row>
    <row r="495" spans="10:10" x14ac:dyDescent="0.25">
      <c r="J495" s="62"/>
    </row>
    <row r="496" spans="10:10" x14ac:dyDescent="0.25">
      <c r="J496" s="62"/>
    </row>
    <row r="497" spans="10:10" x14ac:dyDescent="0.25">
      <c r="J497" s="62"/>
    </row>
    <row r="498" spans="10:10" x14ac:dyDescent="0.25">
      <c r="J498" s="62"/>
    </row>
    <row r="499" spans="10:10" x14ac:dyDescent="0.25">
      <c r="J499" s="62"/>
    </row>
    <row r="500" spans="10:10" x14ac:dyDescent="0.25">
      <c r="J500" s="62"/>
    </row>
  </sheetData>
  <sheetProtection algorithmName="SHA-512" hashValue="PPVvZGL/KXK8laWwnd1d/H+B90atNOasc/luxORcYtkFdjDrCg5bQXu9OXuOCKWLMq2SmpwI0/hItxdQ4DgySA==" saltValue="Xx4dxvbl1vu1y2PY4FkzZA==" spinCount="100000" sheet="1" objects="1" scenarios="1" autoFilter="0"/>
  <autoFilter ref="A30:K39" xr:uid="{C98548AD-4946-4B8C-B54E-2BCA2B868C89}"/>
  <sortState xmlns:xlrd2="http://schemas.microsoft.com/office/spreadsheetml/2017/richdata2" ref="A31:K39">
    <sortCondition ref="A30:A39"/>
  </sortState>
  <mergeCells count="5">
    <mergeCell ref="A27:C28"/>
    <mergeCell ref="I12:M12"/>
    <mergeCell ref="I15:M15"/>
    <mergeCell ref="A6:B7"/>
    <mergeCell ref="F17:G17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5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Export_staff_details">
                <anchor moveWithCells="1" sizeWithCells="1">
                  <from>
                    <xdr:col>2</xdr:col>
                    <xdr:colOff>104775</xdr:colOff>
                    <xdr:row>26</xdr:row>
                    <xdr:rowOff>133350</xdr:rowOff>
                  </from>
                  <to>
                    <xdr:col>3</xdr:col>
                    <xdr:colOff>238125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o_home">
                <anchor moveWithCells="1" sizeWithCells="1">
                  <from>
                    <xdr:col>3</xdr:col>
                    <xdr:colOff>381000</xdr:colOff>
                    <xdr:row>26</xdr:row>
                    <xdr:rowOff>133350</xdr:rowOff>
                  </from>
                  <to>
                    <xdr:col>4</xdr:col>
                    <xdr:colOff>523875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go_invoices">
                <anchor moveWithCells="1" sizeWithCells="1">
                  <from>
                    <xdr:col>4</xdr:col>
                    <xdr:colOff>685800</xdr:colOff>
                    <xdr:row>26</xdr:row>
                    <xdr:rowOff>133350</xdr:rowOff>
                  </from>
                  <to>
                    <xdr:col>5</xdr:col>
                    <xdr:colOff>828675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7" name="Button 7">
              <controlPr defaultSize="0" print="0" autoFill="0" autoPict="0" macro="[0]!go_activities">
                <anchor moveWithCells="1" sizeWithCells="1">
                  <from>
                    <xdr:col>6</xdr:col>
                    <xdr:colOff>123825</xdr:colOff>
                    <xdr:row>26</xdr:row>
                    <xdr:rowOff>133350</xdr:rowOff>
                  </from>
                  <to>
                    <xdr:col>7</xdr:col>
                    <xdr:colOff>171450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8" name="Button 8">
              <controlPr defaultSize="0" print="0" autoFill="0" autoPict="0" macro="[0]!Submit_member">
                <anchor moveWithCells="1" sizeWithCells="1">
                  <from>
                    <xdr:col>9</xdr:col>
                    <xdr:colOff>476250</xdr:colOff>
                    <xdr:row>26</xdr:row>
                    <xdr:rowOff>123825</xdr:rowOff>
                  </from>
                  <to>
                    <xdr:col>10</xdr:col>
                    <xdr:colOff>533400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9" name="Button 9">
              <controlPr defaultSize="0" print="0" autoFill="0" autoPict="0" macro="[0]!Clearm">
                <anchor moveWithCells="1" sizeWithCells="1">
                  <from>
                    <xdr:col>10</xdr:col>
                    <xdr:colOff>695325</xdr:colOff>
                    <xdr:row>26</xdr:row>
                    <xdr:rowOff>114300</xdr:rowOff>
                  </from>
                  <to>
                    <xdr:col>10</xdr:col>
                    <xdr:colOff>1704975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Drop Down 22">
              <controlPr defaultSize="0" autoLine="0" autoPict="0">
                <anchor moveWithCells="1">
                  <from>
                    <xdr:col>2</xdr:col>
                    <xdr:colOff>0</xdr:colOff>
                    <xdr:row>8</xdr:row>
                    <xdr:rowOff>28575</xdr:rowOff>
                  </from>
                  <to>
                    <xdr:col>3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1" name="Drop Down 24">
              <controlPr defaultSize="0" autoLine="0" autoPict="0">
                <anchor moveWithCells="1">
                  <from>
                    <xdr:col>2</xdr:col>
                    <xdr:colOff>9525</xdr:colOff>
                    <xdr:row>12</xdr:row>
                    <xdr:rowOff>19050</xdr:rowOff>
                  </from>
                  <to>
                    <xdr:col>3</xdr:col>
                    <xdr:colOff>19050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1769F-67B8-48FE-9044-A12F32713B56}">
  <sheetPr codeName="Sheet4">
    <tabColor rgb="FF7030A0"/>
  </sheetPr>
  <dimension ref="A6:P34"/>
  <sheetViews>
    <sheetView zoomScaleNormal="100" workbookViewId="0">
      <selection activeCell="I10" sqref="I10"/>
    </sheetView>
  </sheetViews>
  <sheetFormatPr defaultRowHeight="15" x14ac:dyDescent="0.25"/>
  <cols>
    <col min="1" max="1" width="9.140625" style="14"/>
    <col min="2" max="2" width="13.42578125" style="14" customWidth="1"/>
    <col min="3" max="3" width="14" style="14" customWidth="1"/>
    <col min="4" max="4" width="16.140625" style="14" customWidth="1"/>
    <col min="5" max="5" width="18.7109375" style="14" customWidth="1"/>
    <col min="6" max="6" width="13" style="14" customWidth="1"/>
    <col min="7" max="7" width="12.42578125" style="14" customWidth="1"/>
    <col min="8" max="8" width="11.85546875" style="14" customWidth="1"/>
    <col min="9" max="9" width="12.28515625" style="14" customWidth="1"/>
    <col min="10" max="13" width="9.140625" style="14"/>
    <col min="14" max="14" width="10.7109375" style="14" bestFit="1" customWidth="1"/>
    <col min="15" max="16384" width="9.140625" style="14"/>
  </cols>
  <sheetData>
    <row r="6" spans="1:10" ht="15" customHeight="1" x14ac:dyDescent="0.25">
      <c r="A6" s="237" t="s">
        <v>113</v>
      </c>
      <c r="B6" s="237"/>
      <c r="C6" s="237"/>
      <c r="D6" s="25"/>
      <c r="E6" s="25"/>
      <c r="F6" s="4"/>
      <c r="G6" s="4"/>
      <c r="H6" s="4"/>
      <c r="I6" s="4"/>
      <c r="J6" s="4"/>
    </row>
    <row r="7" spans="1:10" ht="15" customHeight="1" x14ac:dyDescent="0.25">
      <c r="A7" s="237"/>
      <c r="B7" s="237"/>
      <c r="C7" s="237"/>
      <c r="D7" s="25"/>
      <c r="E7" s="25"/>
      <c r="F7" s="4"/>
      <c r="G7" s="4"/>
      <c r="H7" s="4"/>
      <c r="I7" s="4"/>
      <c r="J7" s="4"/>
    </row>
    <row r="9" spans="1:10" x14ac:dyDescent="0.25">
      <c r="A9" s="15" t="s">
        <v>114</v>
      </c>
      <c r="B9" s="15" t="s">
        <v>115</v>
      </c>
      <c r="C9" s="15" t="s">
        <v>116</v>
      </c>
      <c r="G9" s="242" t="s">
        <v>191</v>
      </c>
      <c r="H9" s="243"/>
      <c r="I9" s="244"/>
    </row>
    <row r="10" spans="1:10" ht="16.5" customHeight="1" x14ac:dyDescent="0.25">
      <c r="A10" s="3">
        <v>1</v>
      </c>
      <c r="B10" s="3" t="s">
        <v>117</v>
      </c>
      <c r="C10" s="9">
        <v>8</v>
      </c>
      <c r="G10" s="12">
        <v>1</v>
      </c>
      <c r="H10" s="47" t="s">
        <v>117</v>
      </c>
      <c r="I10" s="74">
        <v>45359</v>
      </c>
    </row>
    <row r="11" spans="1:10" x14ac:dyDescent="0.25">
      <c r="A11" s="26">
        <v>2</v>
      </c>
      <c r="B11" s="26" t="s">
        <v>118</v>
      </c>
      <c r="C11" s="16">
        <v>5</v>
      </c>
      <c r="G11" s="11">
        <v>2</v>
      </c>
      <c r="H11" s="46" t="s">
        <v>118</v>
      </c>
      <c r="I11" s="73">
        <v>45338</v>
      </c>
    </row>
    <row r="12" spans="1:10" x14ac:dyDescent="0.25">
      <c r="A12" s="3">
        <v>3</v>
      </c>
      <c r="B12" s="3" t="s">
        <v>119</v>
      </c>
      <c r="C12" s="9">
        <v>5</v>
      </c>
      <c r="G12" s="12"/>
      <c r="H12" s="47"/>
      <c r="I12" s="12"/>
    </row>
    <row r="13" spans="1:10" x14ac:dyDescent="0.25">
      <c r="A13" s="26">
        <v>4</v>
      </c>
      <c r="B13" s="26" t="s">
        <v>47</v>
      </c>
      <c r="C13" s="16">
        <v>7</v>
      </c>
      <c r="G13" s="11"/>
      <c r="H13" s="46"/>
      <c r="I13" s="11"/>
    </row>
    <row r="14" spans="1:10" x14ac:dyDescent="0.25">
      <c r="A14" s="3">
        <v>5</v>
      </c>
      <c r="B14" s="3" t="s">
        <v>120</v>
      </c>
      <c r="C14" s="9">
        <v>9</v>
      </c>
      <c r="G14" s="12"/>
      <c r="H14" s="47"/>
      <c r="I14" s="12"/>
    </row>
    <row r="15" spans="1:10" x14ac:dyDescent="0.25">
      <c r="A15" s="26">
        <v>6</v>
      </c>
      <c r="B15" s="26" t="s">
        <v>54</v>
      </c>
      <c r="C15" s="16">
        <v>10</v>
      </c>
      <c r="G15" s="11"/>
      <c r="H15" s="46"/>
      <c r="I15" s="11"/>
    </row>
    <row r="16" spans="1:10" x14ac:dyDescent="0.25">
      <c r="A16" s="3">
        <v>7</v>
      </c>
      <c r="B16" s="3" t="s">
        <v>51</v>
      </c>
      <c r="C16" s="9">
        <v>9</v>
      </c>
    </row>
    <row r="17" spans="1:16" x14ac:dyDescent="0.25">
      <c r="A17" s="26">
        <v>8</v>
      </c>
      <c r="B17" s="26" t="s">
        <v>121</v>
      </c>
      <c r="C17" s="16">
        <v>8</v>
      </c>
    </row>
    <row r="18" spans="1:16" x14ac:dyDescent="0.25">
      <c r="A18" s="3">
        <v>9</v>
      </c>
      <c r="B18" s="3" t="s">
        <v>122</v>
      </c>
      <c r="C18" s="9">
        <v>7</v>
      </c>
    </row>
    <row r="19" spans="1:16" x14ac:dyDescent="0.25">
      <c r="A19" s="26">
        <v>10</v>
      </c>
      <c r="B19" s="26" t="s">
        <v>123</v>
      </c>
      <c r="C19" s="16">
        <v>8</v>
      </c>
    </row>
    <row r="20" spans="1:16" x14ac:dyDescent="0.25">
      <c r="A20" s="3">
        <v>11</v>
      </c>
      <c r="B20" s="3" t="s">
        <v>124</v>
      </c>
      <c r="C20" s="9">
        <v>10</v>
      </c>
    </row>
    <row r="21" spans="1:16" x14ac:dyDescent="0.25">
      <c r="A21" s="26"/>
      <c r="B21" s="26"/>
      <c r="C21" s="26"/>
    </row>
    <row r="22" spans="1:16" x14ac:dyDescent="0.25">
      <c r="A22" s="3"/>
      <c r="B22" s="3"/>
      <c r="C22" s="3"/>
    </row>
    <row r="23" spans="1:16" x14ac:dyDescent="0.25">
      <c r="A23" s="26"/>
      <c r="B23" s="26"/>
      <c r="C23" s="26"/>
      <c r="P23" s="72"/>
    </row>
    <row r="24" spans="1:16" x14ac:dyDescent="0.25">
      <c r="A24" s="3"/>
      <c r="B24" s="3"/>
      <c r="C24" s="3"/>
      <c r="P24" s="72"/>
    </row>
    <row r="25" spans="1:16" x14ac:dyDescent="0.25">
      <c r="A25" s="26"/>
      <c r="B25" s="26"/>
      <c r="C25" s="26"/>
      <c r="P25" s="72"/>
    </row>
    <row r="26" spans="1:16" x14ac:dyDescent="0.25">
      <c r="A26" s="3"/>
      <c r="B26" s="3"/>
      <c r="C26" s="3"/>
      <c r="P26" s="72"/>
    </row>
    <row r="27" spans="1:16" x14ac:dyDescent="0.25">
      <c r="A27" s="26"/>
      <c r="B27" s="26"/>
      <c r="C27" s="26"/>
      <c r="P27" s="72"/>
    </row>
    <row r="28" spans="1:16" x14ac:dyDescent="0.25">
      <c r="A28" s="3"/>
      <c r="B28" s="3"/>
      <c r="C28" s="3"/>
      <c r="P28" s="72"/>
    </row>
    <row r="29" spans="1:16" x14ac:dyDescent="0.25">
      <c r="A29" s="26"/>
      <c r="B29" s="26"/>
      <c r="C29" s="26"/>
      <c r="P29" s="72"/>
    </row>
    <row r="30" spans="1:16" x14ac:dyDescent="0.25">
      <c r="A30" s="3"/>
      <c r="B30" s="3"/>
      <c r="C30" s="3"/>
      <c r="P30" s="72"/>
    </row>
    <row r="31" spans="1:16" x14ac:dyDescent="0.25">
      <c r="P31" s="72"/>
    </row>
    <row r="32" spans="1:16" x14ac:dyDescent="0.25">
      <c r="P32" s="72"/>
    </row>
    <row r="33" spans="16:16" x14ac:dyDescent="0.25">
      <c r="P33" s="72"/>
    </row>
    <row r="34" spans="16:16" x14ac:dyDescent="0.25">
      <c r="P34" s="72"/>
    </row>
  </sheetData>
  <sheetProtection sort="0" autoFilter="0" pivotTables="0"/>
  <autoFilter ref="A9:C20" xr:uid="{C6E1769F-67B8-48FE-9044-A12F32713B56}"/>
  <mergeCells count="2">
    <mergeCell ref="A6:C7"/>
    <mergeCell ref="G9:I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3" name="Button 4">
              <controlPr defaultSize="0" print="0" autoFill="0" autoPict="0" macro="[0]!Go_home">
                <anchor moveWithCells="1" sizeWithCells="1">
                  <from>
                    <xdr:col>8</xdr:col>
                    <xdr:colOff>190500</xdr:colOff>
                    <xdr:row>5</xdr:row>
                    <xdr:rowOff>47625</xdr:rowOff>
                  </from>
                  <to>
                    <xdr:col>9</xdr:col>
                    <xdr:colOff>552450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A80B0-CBC6-43E3-9362-BC8C06ADBD22}">
  <sheetPr codeName="Sheet11">
    <tabColor rgb="FFFFC000"/>
    <pageSetUpPr fitToPage="1"/>
  </sheetPr>
  <dimension ref="A1:AH745"/>
  <sheetViews>
    <sheetView zoomScaleNormal="100" workbookViewId="0">
      <selection activeCell="B10" sqref="B10"/>
    </sheetView>
  </sheetViews>
  <sheetFormatPr defaultRowHeight="15" x14ac:dyDescent="0.25"/>
  <cols>
    <col min="1" max="1" width="13.42578125" customWidth="1"/>
    <col min="2" max="3" width="13.140625" customWidth="1"/>
    <col min="4" max="4" width="13" customWidth="1"/>
    <col min="5" max="6" width="14" customWidth="1"/>
    <col min="7" max="8" width="16.140625" customWidth="1"/>
    <col min="9" max="9" width="13" customWidth="1"/>
    <col min="10" max="10" width="16" customWidth="1"/>
    <col min="11" max="11" width="14.28515625" customWidth="1"/>
    <col min="12" max="12" width="29.42578125" customWidth="1"/>
    <col min="13" max="13" width="28.5703125" style="14" customWidth="1"/>
    <col min="14" max="14" width="16.7109375" style="14" customWidth="1"/>
    <col min="15" max="15" width="10.7109375" style="14" customWidth="1"/>
    <col min="16" max="16" width="13.42578125" style="14" customWidth="1"/>
    <col min="17" max="17" width="11" style="14" customWidth="1"/>
    <col min="34" max="34" width="14.140625" customWidth="1"/>
  </cols>
  <sheetData>
    <row r="1" spans="1:34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</row>
    <row r="2" spans="1:34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</row>
    <row r="3" spans="1:34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</row>
    <row r="4" spans="1:34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</row>
    <row r="5" spans="1:34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</row>
    <row r="6" spans="1:34" ht="15" customHeight="1" x14ac:dyDescent="0.25">
      <c r="A6" s="245" t="s">
        <v>125</v>
      </c>
      <c r="B6" s="245"/>
      <c r="C6" s="245"/>
      <c r="D6" s="23"/>
      <c r="E6" s="23"/>
      <c r="F6" s="23"/>
      <c r="G6" s="23"/>
      <c r="H6" s="23"/>
      <c r="I6" s="23"/>
      <c r="J6" s="23"/>
      <c r="K6" s="23"/>
      <c r="L6" s="23"/>
      <c r="M6" s="23"/>
      <c r="N6" s="17"/>
      <c r="O6" s="17"/>
      <c r="P6" s="17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</row>
    <row r="7" spans="1:34" ht="15" customHeight="1" x14ac:dyDescent="0.25">
      <c r="A7" s="245"/>
      <c r="B7" s="245"/>
      <c r="C7" s="245"/>
      <c r="D7" s="23"/>
      <c r="E7" s="23"/>
      <c r="F7" s="23"/>
      <c r="G7" s="23"/>
      <c r="H7" s="23"/>
      <c r="I7" s="23"/>
      <c r="J7" s="23"/>
      <c r="K7" s="23"/>
      <c r="L7" s="23"/>
      <c r="M7" s="23"/>
      <c r="N7" s="17"/>
      <c r="O7" s="17"/>
      <c r="P7" s="17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</row>
    <row r="8" spans="1:34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</row>
    <row r="9" spans="1:34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</row>
    <row r="10" spans="1:34" x14ac:dyDescent="0.25">
      <c r="A10" s="15" t="s">
        <v>126</v>
      </c>
      <c r="B10" s="221" t="s">
        <v>31</v>
      </c>
      <c r="C10" s="15" t="s">
        <v>56</v>
      </c>
      <c r="D10" s="15" t="s">
        <v>57</v>
      </c>
      <c r="E10" s="15" t="s">
        <v>127</v>
      </c>
      <c r="F10" s="15" t="s">
        <v>128</v>
      </c>
      <c r="G10" s="15" t="s">
        <v>129</v>
      </c>
      <c r="H10" s="15" t="s">
        <v>130</v>
      </c>
      <c r="I10" s="15" t="s">
        <v>59</v>
      </c>
      <c r="J10" s="15" t="s">
        <v>60</v>
      </c>
      <c r="K10" s="15" t="s">
        <v>61</v>
      </c>
      <c r="L10" s="15" t="s">
        <v>62</v>
      </c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</row>
    <row r="11" spans="1:34" x14ac:dyDescent="0.25">
      <c r="A11" s="33">
        <v>1</v>
      </c>
      <c r="B11" s="76" t="s">
        <v>48</v>
      </c>
      <c r="C11" s="76" t="s">
        <v>49</v>
      </c>
      <c r="D11" s="76" t="s">
        <v>50</v>
      </c>
      <c r="E11" s="76" t="s">
        <v>131</v>
      </c>
      <c r="F11" s="77">
        <v>11</v>
      </c>
      <c r="G11" s="78">
        <v>1.2</v>
      </c>
      <c r="H11" s="76" t="s">
        <v>63</v>
      </c>
      <c r="I11" s="76" t="s">
        <v>64</v>
      </c>
      <c r="J11" s="76" t="s">
        <v>65</v>
      </c>
      <c r="K11" s="76" t="s">
        <v>66</v>
      </c>
      <c r="L11" s="76" t="s">
        <v>67</v>
      </c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</row>
    <row r="12" spans="1:34" x14ac:dyDescent="0.25">
      <c r="A12" s="11">
        <v>2</v>
      </c>
      <c r="B12" s="46" t="s">
        <v>44</v>
      </c>
      <c r="C12" s="46" t="s">
        <v>52</v>
      </c>
      <c r="D12" s="46" t="s">
        <v>53</v>
      </c>
      <c r="E12" s="46" t="s">
        <v>131</v>
      </c>
      <c r="F12" s="79">
        <v>11</v>
      </c>
      <c r="G12" s="80">
        <v>1.2</v>
      </c>
      <c r="H12" s="46" t="s">
        <v>68</v>
      </c>
      <c r="I12" s="46" t="s">
        <v>64</v>
      </c>
      <c r="J12" s="46" t="s">
        <v>69</v>
      </c>
      <c r="K12" s="46" t="s">
        <v>70</v>
      </c>
      <c r="L12" s="49" t="s">
        <v>71</v>
      </c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</row>
    <row r="13" spans="1:34" x14ac:dyDescent="0.25">
      <c r="A13" s="12">
        <v>3</v>
      </c>
      <c r="B13" s="47" t="s">
        <v>44</v>
      </c>
      <c r="C13" s="47" t="s">
        <v>72</v>
      </c>
      <c r="D13" s="47" t="s">
        <v>73</v>
      </c>
      <c r="E13" s="47" t="s">
        <v>132</v>
      </c>
      <c r="F13" s="81">
        <v>12.5</v>
      </c>
      <c r="G13" s="82">
        <v>1.3</v>
      </c>
      <c r="H13" s="47" t="s">
        <v>74</v>
      </c>
      <c r="I13" s="47" t="s">
        <v>64</v>
      </c>
      <c r="J13" s="47" t="s">
        <v>75</v>
      </c>
      <c r="K13" s="47" t="s">
        <v>76</v>
      </c>
      <c r="L13" s="83" t="s">
        <v>77</v>
      </c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</row>
    <row r="14" spans="1:34" x14ac:dyDescent="0.25">
      <c r="A14" s="11">
        <v>4</v>
      </c>
      <c r="B14" s="46" t="s">
        <v>78</v>
      </c>
      <c r="C14" s="46" t="s">
        <v>79</v>
      </c>
      <c r="D14" s="46" t="s">
        <v>80</v>
      </c>
      <c r="E14" s="46" t="s">
        <v>133</v>
      </c>
      <c r="F14" s="79">
        <v>13</v>
      </c>
      <c r="G14" s="80">
        <v>1.3</v>
      </c>
      <c r="H14" s="46" t="s">
        <v>81</v>
      </c>
      <c r="I14" s="46" t="s">
        <v>64</v>
      </c>
      <c r="J14" s="46" t="s">
        <v>82</v>
      </c>
      <c r="K14" s="46" t="s">
        <v>83</v>
      </c>
      <c r="L14" s="49" t="s">
        <v>84</v>
      </c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</row>
    <row r="15" spans="1:34" x14ac:dyDescent="0.25">
      <c r="A15" s="12">
        <v>5</v>
      </c>
      <c r="B15" s="47" t="s">
        <v>78</v>
      </c>
      <c r="C15" s="47" t="s">
        <v>85</v>
      </c>
      <c r="D15" s="47" t="s">
        <v>86</v>
      </c>
      <c r="E15" s="47" t="s">
        <v>134</v>
      </c>
      <c r="F15" s="81">
        <v>16</v>
      </c>
      <c r="G15" s="82">
        <v>1.5</v>
      </c>
      <c r="H15" s="47" t="s">
        <v>87</v>
      </c>
      <c r="I15" s="47" t="s">
        <v>64</v>
      </c>
      <c r="J15" s="47" t="s">
        <v>88</v>
      </c>
      <c r="K15" s="47" t="s">
        <v>89</v>
      </c>
      <c r="L15" s="83" t="s">
        <v>90</v>
      </c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</row>
    <row r="16" spans="1:34" x14ac:dyDescent="0.25">
      <c r="A16" s="11">
        <v>6</v>
      </c>
      <c r="B16" s="46" t="s">
        <v>48</v>
      </c>
      <c r="C16" s="46" t="s">
        <v>91</v>
      </c>
      <c r="D16" s="46" t="s">
        <v>92</v>
      </c>
      <c r="E16" s="46" t="s">
        <v>134</v>
      </c>
      <c r="F16" s="79">
        <v>16</v>
      </c>
      <c r="G16" s="80">
        <v>1.5</v>
      </c>
      <c r="H16" s="46" t="s">
        <v>93</v>
      </c>
      <c r="I16" s="46" t="s">
        <v>64</v>
      </c>
      <c r="J16" s="46" t="s">
        <v>94</v>
      </c>
      <c r="K16" s="46" t="s">
        <v>95</v>
      </c>
      <c r="L16" s="49" t="s">
        <v>96</v>
      </c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</row>
    <row r="17" spans="1:34" x14ac:dyDescent="0.25">
      <c r="A17" s="12">
        <v>7</v>
      </c>
      <c r="B17" s="47" t="s">
        <v>44</v>
      </c>
      <c r="C17" s="47" t="s">
        <v>97</v>
      </c>
      <c r="D17" s="47" t="s">
        <v>98</v>
      </c>
      <c r="E17" s="47" t="s">
        <v>134</v>
      </c>
      <c r="F17" s="81">
        <v>16</v>
      </c>
      <c r="G17" s="82">
        <v>1.5</v>
      </c>
      <c r="H17" s="47" t="s">
        <v>99</v>
      </c>
      <c r="I17" s="47" t="s">
        <v>64</v>
      </c>
      <c r="J17" s="47" t="s">
        <v>100</v>
      </c>
      <c r="K17" s="47" t="s">
        <v>101</v>
      </c>
      <c r="L17" s="83" t="s">
        <v>102</v>
      </c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</row>
    <row r="18" spans="1:34" x14ac:dyDescent="0.25">
      <c r="A18" s="11">
        <v>8</v>
      </c>
      <c r="B18" s="46" t="s">
        <v>48</v>
      </c>
      <c r="C18" s="46" t="s">
        <v>103</v>
      </c>
      <c r="D18" s="46" t="s">
        <v>104</v>
      </c>
      <c r="E18" s="46" t="s">
        <v>134</v>
      </c>
      <c r="F18" s="79">
        <v>16</v>
      </c>
      <c r="G18" s="80">
        <v>1.5</v>
      </c>
      <c r="H18" s="46" t="s">
        <v>105</v>
      </c>
      <c r="I18" s="46" t="s">
        <v>64</v>
      </c>
      <c r="J18" s="46" t="s">
        <v>106</v>
      </c>
      <c r="K18" s="46" t="s">
        <v>107</v>
      </c>
      <c r="L18" s="49" t="s">
        <v>108</v>
      </c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</row>
    <row r="19" spans="1:34" x14ac:dyDescent="0.25">
      <c r="A19" s="12">
        <v>9</v>
      </c>
      <c r="B19" s="47" t="s">
        <v>44</v>
      </c>
      <c r="C19" s="47" t="s">
        <v>45</v>
      </c>
      <c r="D19" s="47" t="s">
        <v>46</v>
      </c>
      <c r="E19" s="62" t="s">
        <v>135</v>
      </c>
      <c r="F19" s="84">
        <v>20</v>
      </c>
      <c r="G19" s="85">
        <v>1.8</v>
      </c>
      <c r="H19" s="47" t="s">
        <v>109</v>
      </c>
      <c r="I19" s="47" t="s">
        <v>64</v>
      </c>
      <c r="J19" s="47" t="s">
        <v>110</v>
      </c>
      <c r="K19" s="47" t="s">
        <v>111</v>
      </c>
      <c r="L19" s="83" t="s">
        <v>112</v>
      </c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</row>
    <row r="20" spans="1:34" x14ac:dyDescent="0.25">
      <c r="A20" s="11"/>
      <c r="B20" s="46"/>
      <c r="C20" s="46"/>
      <c r="D20" s="46"/>
      <c r="E20" s="46"/>
      <c r="F20" s="79"/>
      <c r="G20" s="80"/>
      <c r="H20" s="46"/>
      <c r="I20" s="46"/>
      <c r="J20" s="46"/>
      <c r="K20" s="46"/>
      <c r="L20" s="49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</row>
    <row r="21" spans="1:34" x14ac:dyDescent="0.25">
      <c r="A21" s="12"/>
      <c r="B21" s="47"/>
      <c r="C21" s="47"/>
      <c r="D21" s="47"/>
      <c r="E21" s="47"/>
      <c r="F21" s="81"/>
      <c r="G21" s="82"/>
      <c r="H21" s="47"/>
      <c r="I21" s="47"/>
      <c r="J21" s="47"/>
      <c r="K21" s="47"/>
      <c r="L21" s="83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</row>
    <row r="22" spans="1:34" x14ac:dyDescent="0.25">
      <c r="A22" s="11"/>
      <c r="B22" s="46"/>
      <c r="C22" s="46"/>
      <c r="D22" s="46"/>
      <c r="E22" s="46"/>
      <c r="F22" s="79"/>
      <c r="G22" s="80"/>
      <c r="H22" s="46"/>
      <c r="I22" s="46"/>
      <c r="J22" s="46"/>
      <c r="K22" s="46"/>
      <c r="L22" s="49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</row>
    <row r="23" spans="1:34" x14ac:dyDescent="0.25">
      <c r="A23" s="12"/>
      <c r="B23" s="47"/>
      <c r="C23" s="47"/>
      <c r="D23" s="47"/>
      <c r="E23" s="47"/>
      <c r="F23" s="81"/>
      <c r="G23" s="82"/>
      <c r="H23" s="47"/>
      <c r="I23" s="47"/>
      <c r="J23" s="47"/>
      <c r="K23" s="47"/>
      <c r="L23" s="83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</row>
    <row r="24" spans="1:34" x14ac:dyDescent="0.25">
      <c r="A24" s="11"/>
      <c r="B24" s="46"/>
      <c r="C24" s="46"/>
      <c r="D24" s="46"/>
      <c r="E24" s="46"/>
      <c r="F24" s="79"/>
      <c r="G24" s="80"/>
      <c r="H24" s="46"/>
      <c r="I24" s="46"/>
      <c r="J24" s="46"/>
      <c r="K24" s="46"/>
      <c r="L24" s="49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</row>
    <row r="25" spans="1:34" x14ac:dyDescent="0.25">
      <c r="A25" s="12"/>
      <c r="B25" s="47"/>
      <c r="C25" s="47"/>
      <c r="D25" s="47"/>
      <c r="E25" s="47"/>
      <c r="F25" s="81"/>
      <c r="G25" s="82"/>
      <c r="H25" s="47"/>
      <c r="I25" s="47"/>
      <c r="J25" s="47"/>
      <c r="K25" s="47"/>
      <c r="L25" s="83"/>
      <c r="R25" s="14" t="s">
        <v>1</v>
      </c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</row>
    <row r="26" spans="1:34" x14ac:dyDescent="0.25">
      <c r="A26" s="11"/>
      <c r="B26" s="46"/>
      <c r="C26" s="46"/>
      <c r="D26" s="46"/>
      <c r="E26" s="46"/>
      <c r="F26" s="79"/>
      <c r="G26" s="80"/>
      <c r="H26" s="46"/>
      <c r="I26" s="46"/>
      <c r="J26" s="46"/>
      <c r="K26" s="46"/>
      <c r="L26" s="49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</row>
    <row r="27" spans="1:34" x14ac:dyDescent="0.25">
      <c r="A27" s="12"/>
      <c r="B27" s="47"/>
      <c r="C27" s="47"/>
      <c r="D27" s="47"/>
      <c r="E27" s="47"/>
      <c r="F27" s="81"/>
      <c r="G27" s="82"/>
      <c r="H27" s="47"/>
      <c r="I27" s="47"/>
      <c r="J27" s="47"/>
      <c r="K27" s="47"/>
      <c r="L27" s="83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</row>
    <row r="28" spans="1:34" x14ac:dyDescent="0.25">
      <c r="A28" s="11"/>
      <c r="B28" s="46"/>
      <c r="C28" s="46"/>
      <c r="D28" s="46"/>
      <c r="E28" s="46"/>
      <c r="F28" s="79"/>
      <c r="G28" s="80"/>
      <c r="H28" s="46"/>
      <c r="I28" s="46"/>
      <c r="J28" s="46"/>
      <c r="K28" s="46"/>
      <c r="L28" s="49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</row>
    <row r="29" spans="1:34" x14ac:dyDescent="0.25">
      <c r="A29" s="12"/>
      <c r="B29" s="47"/>
      <c r="C29" s="47"/>
      <c r="D29" s="47"/>
      <c r="E29" s="47"/>
      <c r="F29" s="81"/>
      <c r="G29" s="82"/>
      <c r="H29" s="47"/>
      <c r="I29" s="47"/>
      <c r="J29" s="47"/>
      <c r="K29" s="47"/>
      <c r="L29" s="83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</row>
    <row r="30" spans="1:34" x14ac:dyDescent="0.25">
      <c r="A30" s="11"/>
      <c r="B30" s="46"/>
      <c r="C30" s="46"/>
      <c r="D30" s="46"/>
      <c r="E30" s="46"/>
      <c r="F30" s="79"/>
      <c r="G30" s="80"/>
      <c r="H30" s="46"/>
      <c r="I30" s="46"/>
      <c r="J30" s="46"/>
      <c r="K30" s="46"/>
      <c r="L30" s="49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</row>
    <row r="31" spans="1:34" x14ac:dyDescent="0.25">
      <c r="A31" s="12"/>
      <c r="B31" s="47"/>
      <c r="C31" s="47"/>
      <c r="D31" s="47"/>
      <c r="E31" s="47"/>
      <c r="F31" s="81"/>
      <c r="G31" s="82"/>
      <c r="H31" s="47"/>
      <c r="I31" s="47"/>
      <c r="J31" s="47"/>
      <c r="K31" s="47"/>
      <c r="L31" s="83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</row>
    <row r="32" spans="1:34" x14ac:dyDescent="0.25">
      <c r="A32" s="11"/>
      <c r="B32" s="46"/>
      <c r="C32" s="46"/>
      <c r="D32" s="46"/>
      <c r="E32" s="46"/>
      <c r="F32" s="79"/>
      <c r="G32" s="80"/>
      <c r="H32" s="46"/>
      <c r="I32" s="46"/>
      <c r="J32" s="46"/>
      <c r="K32" s="46"/>
      <c r="L32" s="49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</row>
    <row r="33" spans="1:34" x14ac:dyDescent="0.25">
      <c r="A33" s="12"/>
      <c r="B33" s="47"/>
      <c r="C33" s="47"/>
      <c r="D33" s="47"/>
      <c r="E33" s="47"/>
      <c r="F33" s="81"/>
      <c r="G33" s="82"/>
      <c r="H33" s="47"/>
      <c r="I33" s="47"/>
      <c r="J33" s="47"/>
      <c r="K33" s="47"/>
      <c r="L33" s="83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</row>
    <row r="34" spans="1:34" x14ac:dyDescent="0.25">
      <c r="A34" s="11"/>
      <c r="B34" s="46"/>
      <c r="C34" s="46"/>
      <c r="D34" s="46"/>
      <c r="E34" s="46"/>
      <c r="F34" s="79"/>
      <c r="G34" s="80"/>
      <c r="H34" s="46"/>
      <c r="I34" s="46"/>
      <c r="J34" s="46"/>
      <c r="K34" s="46"/>
      <c r="L34" s="49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</row>
    <row r="35" spans="1:34" x14ac:dyDescent="0.25">
      <c r="A35" s="12"/>
      <c r="B35" s="47"/>
      <c r="C35" s="47"/>
      <c r="D35" s="47"/>
      <c r="E35" s="47"/>
      <c r="F35" s="47"/>
      <c r="G35" s="86"/>
      <c r="H35" s="47"/>
      <c r="I35" s="47"/>
      <c r="J35" s="47"/>
      <c r="K35" s="47"/>
      <c r="L35" s="83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</row>
    <row r="36" spans="1:34" x14ac:dyDescent="0.25">
      <c r="A36" s="11"/>
      <c r="B36" s="46"/>
      <c r="C36" s="46"/>
      <c r="D36" s="46"/>
      <c r="E36" s="46"/>
      <c r="F36" s="46"/>
      <c r="G36" s="87"/>
      <c r="H36" s="46"/>
      <c r="I36" s="46"/>
      <c r="J36" s="46"/>
      <c r="K36" s="46"/>
      <c r="L36" s="49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</row>
    <row r="37" spans="1:34" x14ac:dyDescent="0.25">
      <c r="A37" s="12"/>
      <c r="B37" s="47"/>
      <c r="C37" s="47"/>
      <c r="D37" s="47"/>
      <c r="E37" s="47"/>
      <c r="F37" s="47"/>
      <c r="G37" s="86"/>
      <c r="H37" s="47"/>
      <c r="I37" s="47"/>
      <c r="J37" s="47"/>
      <c r="K37" s="47"/>
      <c r="L37" s="83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</row>
    <row r="38" spans="1:34" x14ac:dyDescent="0.25">
      <c r="A38" s="11"/>
      <c r="B38" s="11"/>
      <c r="C38" s="11"/>
      <c r="D38" s="11"/>
      <c r="E38" s="11"/>
      <c r="F38" s="11"/>
      <c r="G38" s="39"/>
      <c r="H38" s="11"/>
      <c r="I38" s="11"/>
      <c r="J38" s="11"/>
      <c r="K38" s="11"/>
      <c r="L38" s="3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</row>
    <row r="39" spans="1:34" x14ac:dyDescent="0.25">
      <c r="A39" s="12"/>
      <c r="B39" s="12"/>
      <c r="C39" s="12"/>
      <c r="D39" s="12"/>
      <c r="E39" s="12"/>
      <c r="F39" s="12"/>
      <c r="G39" s="38"/>
      <c r="H39" s="12"/>
      <c r="I39" s="12"/>
      <c r="J39" s="12"/>
      <c r="K39" s="12"/>
      <c r="L39" s="35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</row>
    <row r="40" spans="1:34" x14ac:dyDescent="0.25">
      <c r="A40" s="11"/>
      <c r="B40" s="11"/>
      <c r="C40" s="11"/>
      <c r="D40" s="11"/>
      <c r="E40" s="11"/>
      <c r="F40" s="11"/>
      <c r="G40" s="39"/>
      <c r="H40" s="11"/>
      <c r="I40" s="11"/>
      <c r="J40" s="11"/>
      <c r="K40" s="11"/>
      <c r="L40" s="3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</row>
    <row r="41" spans="1:34" x14ac:dyDescent="0.25">
      <c r="A41" s="12"/>
      <c r="B41" s="12"/>
      <c r="C41" s="12"/>
      <c r="D41" s="12"/>
      <c r="E41" s="12"/>
      <c r="F41" s="12"/>
      <c r="G41" s="38"/>
      <c r="H41" s="12"/>
      <c r="I41" s="12"/>
      <c r="J41" s="12"/>
      <c r="K41" s="12"/>
      <c r="L41" s="35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</row>
    <row r="42" spans="1:34" x14ac:dyDescent="0.25">
      <c r="A42" s="11"/>
      <c r="B42" s="11"/>
      <c r="C42" s="11"/>
      <c r="D42" s="11"/>
      <c r="E42" s="11"/>
      <c r="F42" s="11"/>
      <c r="G42" s="39"/>
      <c r="H42" s="11"/>
      <c r="I42" s="11"/>
      <c r="J42" s="11"/>
      <c r="K42" s="11"/>
      <c r="L42" s="3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</row>
    <row r="43" spans="1:34" x14ac:dyDescent="0.25">
      <c r="A43" s="12"/>
      <c r="B43" s="12"/>
      <c r="C43" s="12"/>
      <c r="D43" s="12"/>
      <c r="E43" s="12"/>
      <c r="F43" s="12"/>
      <c r="G43" s="38"/>
      <c r="H43" s="12"/>
      <c r="I43" s="12"/>
      <c r="J43" s="12"/>
      <c r="K43" s="12"/>
      <c r="L43" s="35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</row>
    <row r="44" spans="1:34" x14ac:dyDescent="0.25">
      <c r="A44" s="11"/>
      <c r="B44" s="11"/>
      <c r="C44" s="11"/>
      <c r="D44" s="11"/>
      <c r="E44" s="11"/>
      <c r="F44" s="11"/>
      <c r="G44" s="39"/>
      <c r="H44" s="11"/>
      <c r="I44" s="11"/>
      <c r="J44" s="11"/>
      <c r="K44" s="11"/>
      <c r="L44" s="3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</row>
    <row r="45" spans="1:34" x14ac:dyDescent="0.25">
      <c r="A45" s="12"/>
      <c r="B45" s="12"/>
      <c r="C45" s="12"/>
      <c r="D45" s="12"/>
      <c r="E45" s="12"/>
      <c r="F45" s="12"/>
      <c r="G45" s="38"/>
      <c r="H45" s="12"/>
      <c r="I45" s="12"/>
      <c r="J45" s="12"/>
      <c r="K45" s="12"/>
      <c r="L45" s="35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</row>
    <row r="46" spans="1:34" x14ac:dyDescent="0.25">
      <c r="A46" s="11"/>
      <c r="B46" s="11"/>
      <c r="C46" s="11"/>
      <c r="D46" s="11"/>
      <c r="E46" s="11"/>
      <c r="F46" s="11"/>
      <c r="G46" s="39"/>
      <c r="H46" s="11"/>
      <c r="I46" s="11"/>
      <c r="J46" s="11"/>
      <c r="K46" s="11"/>
      <c r="L46" s="3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</row>
    <row r="47" spans="1:34" x14ac:dyDescent="0.25">
      <c r="A47" s="12"/>
      <c r="B47" s="12"/>
      <c r="C47" s="12"/>
      <c r="D47" s="12"/>
      <c r="E47" s="12"/>
      <c r="F47" s="12"/>
      <c r="G47" s="38"/>
      <c r="H47" s="12"/>
      <c r="I47" s="12"/>
      <c r="J47" s="12"/>
      <c r="K47" s="12"/>
      <c r="L47" s="35"/>
    </row>
    <row r="48" spans="1:34" x14ac:dyDescent="0.25">
      <c r="A48" s="11"/>
      <c r="B48" s="11"/>
      <c r="C48" s="11"/>
      <c r="D48" s="11"/>
      <c r="E48" s="11"/>
      <c r="F48" s="11"/>
      <c r="G48" s="39"/>
      <c r="H48" s="11"/>
      <c r="I48" s="11"/>
      <c r="J48" s="11"/>
      <c r="K48" s="11"/>
      <c r="L48" s="34"/>
    </row>
    <row r="49" spans="1:12" x14ac:dyDescent="0.25">
      <c r="A49" s="12"/>
      <c r="B49" s="12"/>
      <c r="C49" s="12"/>
      <c r="D49" s="12"/>
      <c r="E49" s="12"/>
      <c r="F49" s="12"/>
      <c r="G49" s="38"/>
      <c r="H49" s="12"/>
      <c r="I49" s="12"/>
      <c r="J49" s="12"/>
      <c r="K49" s="12"/>
      <c r="L49" s="35"/>
    </row>
    <row r="50" spans="1:12" x14ac:dyDescent="0.25">
      <c r="A50" s="11"/>
      <c r="B50" s="11"/>
      <c r="C50" s="11"/>
      <c r="D50" s="11"/>
      <c r="E50" s="11"/>
      <c r="F50" s="11"/>
      <c r="G50" s="39"/>
      <c r="H50" s="11"/>
      <c r="I50" s="11"/>
      <c r="J50" s="11"/>
      <c r="K50" s="11"/>
      <c r="L50" s="34"/>
    </row>
    <row r="51" spans="1:12" x14ac:dyDescent="0.25">
      <c r="A51" s="12"/>
      <c r="B51" s="12"/>
      <c r="C51" s="12"/>
      <c r="D51" s="12"/>
      <c r="E51" s="12"/>
      <c r="F51" s="12"/>
      <c r="G51" s="38"/>
      <c r="H51" s="12"/>
      <c r="I51" s="12"/>
      <c r="J51" s="12"/>
      <c r="K51" s="12"/>
      <c r="L51" s="35"/>
    </row>
    <row r="52" spans="1:12" x14ac:dyDescent="0.25">
      <c r="A52" s="11"/>
      <c r="B52" s="11"/>
      <c r="C52" s="11"/>
      <c r="D52" s="11"/>
      <c r="E52" s="11"/>
      <c r="F52" s="11"/>
      <c r="G52" s="39"/>
      <c r="H52" s="11"/>
      <c r="I52" s="11"/>
      <c r="J52" s="11"/>
      <c r="K52" s="11"/>
      <c r="L52" s="34"/>
    </row>
    <row r="53" spans="1:12" x14ac:dyDescent="0.25">
      <c r="A53" s="12"/>
      <c r="B53" s="12"/>
      <c r="C53" s="12"/>
      <c r="D53" s="12"/>
      <c r="E53" s="12"/>
      <c r="F53" s="12"/>
      <c r="G53" s="38"/>
      <c r="H53" s="12"/>
      <c r="I53" s="12"/>
      <c r="J53" s="12"/>
      <c r="K53" s="12"/>
      <c r="L53" s="35"/>
    </row>
    <row r="54" spans="1:12" x14ac:dyDescent="0.25">
      <c r="A54" s="11"/>
      <c r="B54" s="11"/>
      <c r="C54" s="11"/>
      <c r="D54" s="11"/>
      <c r="E54" s="11"/>
      <c r="F54" s="11"/>
      <c r="G54" s="39"/>
      <c r="H54" s="11"/>
      <c r="I54" s="11"/>
      <c r="J54" s="11"/>
      <c r="K54" s="11"/>
      <c r="L54" s="34"/>
    </row>
    <row r="55" spans="1:12" x14ac:dyDescent="0.25">
      <c r="A55" s="12"/>
      <c r="B55" s="12"/>
      <c r="C55" s="12"/>
      <c r="D55" s="12"/>
      <c r="E55" s="12"/>
      <c r="F55" s="12"/>
      <c r="G55" s="38"/>
      <c r="H55" s="12"/>
      <c r="I55" s="12"/>
      <c r="J55" s="12"/>
      <c r="K55" s="12"/>
      <c r="L55" s="35"/>
    </row>
    <row r="56" spans="1:12" x14ac:dyDescent="0.25">
      <c r="A56" s="11"/>
      <c r="B56" s="11"/>
      <c r="C56" s="11"/>
      <c r="D56" s="11"/>
      <c r="E56" s="11"/>
      <c r="F56" s="11"/>
      <c r="G56" s="39"/>
      <c r="H56" s="11"/>
      <c r="I56" s="11"/>
      <c r="J56" s="11"/>
      <c r="K56" s="11"/>
      <c r="L56" s="34"/>
    </row>
    <row r="57" spans="1:12" x14ac:dyDescent="0.25">
      <c r="A57" s="12"/>
      <c r="B57" s="12"/>
      <c r="C57" s="12"/>
      <c r="D57" s="12"/>
      <c r="E57" s="12"/>
      <c r="F57" s="12"/>
      <c r="G57" s="38"/>
      <c r="H57" s="12"/>
      <c r="I57" s="12"/>
      <c r="J57" s="12"/>
      <c r="K57" s="12"/>
      <c r="L57" s="35"/>
    </row>
    <row r="58" spans="1:12" x14ac:dyDescent="0.25">
      <c r="A58" s="11"/>
      <c r="B58" s="11"/>
      <c r="C58" s="11"/>
      <c r="D58" s="11"/>
      <c r="E58" s="11"/>
      <c r="F58" s="11"/>
      <c r="G58" s="39"/>
      <c r="H58" s="11"/>
      <c r="I58" s="11"/>
      <c r="J58" s="11"/>
      <c r="K58" s="11"/>
      <c r="L58" s="34"/>
    </row>
    <row r="59" spans="1:12" x14ac:dyDescent="0.25">
      <c r="A59" s="12"/>
      <c r="B59" s="12"/>
      <c r="C59" s="12"/>
      <c r="D59" s="12"/>
      <c r="E59" s="12"/>
      <c r="F59" s="12"/>
      <c r="G59" s="38"/>
      <c r="H59" s="12"/>
      <c r="I59" s="12"/>
      <c r="J59" s="12"/>
      <c r="K59" s="12"/>
      <c r="L59" s="35"/>
    </row>
    <row r="60" spans="1:12" x14ac:dyDescent="0.25">
      <c r="A60" s="11"/>
      <c r="B60" s="11"/>
      <c r="C60" s="11"/>
      <c r="D60" s="11"/>
      <c r="E60" s="11"/>
      <c r="F60" s="11"/>
      <c r="G60" s="39"/>
      <c r="H60" s="11"/>
      <c r="I60" s="11"/>
      <c r="J60" s="11"/>
      <c r="K60" s="11"/>
      <c r="L60" s="34"/>
    </row>
    <row r="61" spans="1:12" x14ac:dyDescent="0.25">
      <c r="A61" s="12"/>
      <c r="B61" s="12"/>
      <c r="C61" s="12"/>
      <c r="D61" s="12"/>
      <c r="E61" s="12"/>
      <c r="F61" s="12"/>
      <c r="G61" s="38"/>
      <c r="H61" s="12"/>
      <c r="I61" s="12"/>
      <c r="J61" s="12"/>
      <c r="K61" s="12"/>
      <c r="L61" s="35"/>
    </row>
    <row r="62" spans="1:12" x14ac:dyDescent="0.25">
      <c r="A62" s="11"/>
      <c r="B62" s="11"/>
      <c r="C62" s="11"/>
      <c r="D62" s="11"/>
      <c r="E62" s="11"/>
      <c r="F62" s="11"/>
      <c r="G62" s="39"/>
      <c r="H62" s="11"/>
      <c r="I62" s="11"/>
      <c r="J62" s="11"/>
      <c r="K62" s="11"/>
      <c r="L62" s="34"/>
    </row>
    <row r="63" spans="1:12" x14ac:dyDescent="0.25">
      <c r="A63" s="12"/>
      <c r="B63" s="12"/>
      <c r="C63" s="12"/>
      <c r="D63" s="12"/>
      <c r="E63" s="12"/>
      <c r="F63" s="12"/>
      <c r="G63" s="38"/>
      <c r="H63" s="12"/>
      <c r="I63" s="12"/>
      <c r="J63" s="12"/>
      <c r="K63" s="12"/>
      <c r="L63" s="35"/>
    </row>
    <row r="64" spans="1:12" x14ac:dyDescent="0.25">
      <c r="A64" s="11"/>
      <c r="B64" s="11"/>
      <c r="C64" s="11"/>
      <c r="D64" s="11"/>
      <c r="E64" s="11"/>
      <c r="F64" s="11"/>
      <c r="G64" s="39"/>
      <c r="H64" s="11"/>
      <c r="I64" s="11"/>
      <c r="J64" s="11"/>
      <c r="K64" s="11"/>
      <c r="L64" s="34"/>
    </row>
    <row r="65" spans="1:12" x14ac:dyDescent="0.25">
      <c r="A65" s="12"/>
      <c r="B65" s="12"/>
      <c r="C65" s="12"/>
      <c r="D65" s="12"/>
      <c r="E65" s="12"/>
      <c r="F65" s="12"/>
      <c r="G65" s="38"/>
      <c r="H65" s="12"/>
      <c r="I65" s="12"/>
      <c r="J65" s="12"/>
      <c r="K65" s="12"/>
      <c r="L65" s="35"/>
    </row>
    <row r="66" spans="1:12" x14ac:dyDescent="0.25">
      <c r="A66" s="11"/>
      <c r="B66" s="11"/>
      <c r="C66" s="11"/>
      <c r="D66" s="11"/>
      <c r="E66" s="11"/>
      <c r="F66" s="11"/>
      <c r="G66" s="39"/>
      <c r="H66" s="11"/>
      <c r="I66" s="11"/>
      <c r="J66" s="11"/>
      <c r="K66" s="11"/>
      <c r="L66" s="34"/>
    </row>
    <row r="67" spans="1:12" x14ac:dyDescent="0.25">
      <c r="A67" s="12"/>
      <c r="B67" s="12"/>
      <c r="C67" s="12"/>
      <c r="D67" s="12"/>
      <c r="E67" s="12"/>
      <c r="F67" s="12"/>
      <c r="G67" s="38"/>
      <c r="H67" s="12"/>
      <c r="I67" s="12"/>
      <c r="J67" s="12"/>
      <c r="K67" s="12"/>
      <c r="L67" s="35"/>
    </row>
    <row r="68" spans="1:12" x14ac:dyDescent="0.25">
      <c r="A68" s="11"/>
      <c r="B68" s="11"/>
      <c r="C68" s="11"/>
      <c r="D68" s="11"/>
      <c r="E68" s="11"/>
      <c r="F68" s="11"/>
      <c r="G68" s="39"/>
      <c r="H68" s="11"/>
      <c r="I68" s="11"/>
      <c r="J68" s="11"/>
      <c r="K68" s="11"/>
      <c r="L68" s="34"/>
    </row>
    <row r="69" spans="1:12" x14ac:dyDescent="0.25">
      <c r="A69" s="12"/>
      <c r="B69" s="12"/>
      <c r="C69" s="12"/>
      <c r="D69" s="12"/>
      <c r="E69" s="12"/>
      <c r="F69" s="12"/>
      <c r="G69" s="38"/>
      <c r="H69" s="12"/>
      <c r="I69" s="12"/>
      <c r="J69" s="12"/>
      <c r="K69" s="12"/>
      <c r="L69" s="35"/>
    </row>
    <row r="70" spans="1:12" x14ac:dyDescent="0.25">
      <c r="A70" s="11"/>
      <c r="B70" s="11"/>
      <c r="C70" s="11"/>
      <c r="D70" s="11"/>
      <c r="E70" s="11"/>
      <c r="F70" s="11"/>
      <c r="G70" s="39"/>
      <c r="H70" s="11"/>
      <c r="I70" s="11"/>
      <c r="J70" s="11"/>
      <c r="K70" s="11"/>
      <c r="L70" s="34"/>
    </row>
    <row r="71" spans="1:12" x14ac:dyDescent="0.25">
      <c r="A71" s="12"/>
      <c r="B71" s="12"/>
      <c r="C71" s="12"/>
      <c r="D71" s="12"/>
      <c r="E71" s="12"/>
      <c r="F71" s="12"/>
      <c r="G71" s="38"/>
      <c r="H71" s="12"/>
      <c r="I71" s="12"/>
      <c r="J71" s="12"/>
      <c r="K71" s="12"/>
      <c r="L71" s="35"/>
    </row>
    <row r="72" spans="1:12" x14ac:dyDescent="0.25">
      <c r="A72" s="11"/>
      <c r="B72" s="11"/>
      <c r="C72" s="11"/>
      <c r="D72" s="11"/>
      <c r="E72" s="11"/>
      <c r="F72" s="11"/>
      <c r="G72" s="39"/>
      <c r="H72" s="11"/>
      <c r="I72" s="11"/>
      <c r="J72" s="11"/>
      <c r="K72" s="11"/>
      <c r="L72" s="34"/>
    </row>
    <row r="73" spans="1:12" x14ac:dyDescent="0.25">
      <c r="A73" s="12"/>
      <c r="B73" s="12"/>
      <c r="C73" s="12"/>
      <c r="D73" s="12"/>
      <c r="E73" s="12"/>
      <c r="F73" s="12"/>
      <c r="G73" s="38"/>
      <c r="H73" s="12"/>
      <c r="I73" s="12"/>
      <c r="J73" s="12"/>
      <c r="K73" s="12"/>
      <c r="L73" s="35"/>
    </row>
    <row r="74" spans="1:12" x14ac:dyDescent="0.25">
      <c r="A74" s="11"/>
      <c r="B74" s="11"/>
      <c r="C74" s="11"/>
      <c r="D74" s="11"/>
      <c r="E74" s="11"/>
      <c r="F74" s="11"/>
      <c r="G74" s="39"/>
      <c r="H74" s="11"/>
      <c r="I74" s="11"/>
      <c r="J74" s="11"/>
      <c r="K74" s="11"/>
      <c r="L74" s="34"/>
    </row>
    <row r="75" spans="1:12" x14ac:dyDescent="0.25">
      <c r="A75" s="12"/>
      <c r="B75" s="12"/>
      <c r="C75" s="12"/>
      <c r="D75" s="12"/>
      <c r="E75" s="12"/>
      <c r="F75" s="12"/>
      <c r="G75" s="38"/>
      <c r="H75" s="12"/>
      <c r="I75" s="12"/>
      <c r="J75" s="12"/>
      <c r="K75" s="12"/>
      <c r="L75" s="35"/>
    </row>
    <row r="76" spans="1:12" x14ac:dyDescent="0.25">
      <c r="A76" s="11"/>
      <c r="B76" s="11"/>
      <c r="C76" s="11"/>
      <c r="D76" s="11"/>
      <c r="E76" s="11"/>
      <c r="F76" s="11"/>
      <c r="G76" s="39"/>
      <c r="H76" s="11"/>
      <c r="I76" s="11"/>
      <c r="J76" s="11"/>
      <c r="K76" s="11"/>
      <c r="L76" s="34"/>
    </row>
    <row r="77" spans="1:12" x14ac:dyDescent="0.25">
      <c r="A77" s="12"/>
      <c r="B77" s="12"/>
      <c r="C77" s="12"/>
      <c r="D77" s="12"/>
      <c r="E77" s="12"/>
      <c r="F77" s="12"/>
      <c r="G77" s="38"/>
      <c r="H77" s="12"/>
      <c r="I77" s="12"/>
      <c r="J77" s="12"/>
      <c r="K77" s="12"/>
      <c r="L77" s="35"/>
    </row>
    <row r="78" spans="1:12" x14ac:dyDescent="0.25">
      <c r="A78" s="11"/>
      <c r="B78" s="11"/>
      <c r="C78" s="11"/>
      <c r="D78" s="11"/>
      <c r="E78" s="11"/>
      <c r="F78" s="11"/>
      <c r="G78" s="39"/>
      <c r="H78" s="11"/>
      <c r="I78" s="11"/>
      <c r="J78" s="11"/>
      <c r="K78" s="11"/>
      <c r="L78" s="34"/>
    </row>
    <row r="79" spans="1:12" x14ac:dyDescent="0.25">
      <c r="A79" s="12"/>
      <c r="B79" s="12"/>
      <c r="C79" s="12"/>
      <c r="D79" s="12"/>
      <c r="E79" s="12"/>
      <c r="F79" s="12"/>
      <c r="G79" s="38"/>
      <c r="H79" s="12"/>
      <c r="I79" s="12"/>
      <c r="J79" s="12"/>
      <c r="K79" s="12"/>
      <c r="L79" s="35"/>
    </row>
    <row r="80" spans="1:12" x14ac:dyDescent="0.25">
      <c r="A80" s="11"/>
      <c r="B80" s="11"/>
      <c r="C80" s="11"/>
      <c r="D80" s="11"/>
      <c r="E80" s="11"/>
      <c r="F80" s="11"/>
      <c r="G80" s="39"/>
      <c r="H80" s="11"/>
      <c r="I80" s="11"/>
      <c r="J80" s="11"/>
      <c r="K80" s="11"/>
      <c r="L80" s="34"/>
    </row>
    <row r="81" spans="1:12" x14ac:dyDescent="0.25">
      <c r="A81" s="12"/>
      <c r="B81" s="12"/>
      <c r="C81" s="12"/>
      <c r="D81" s="12"/>
      <c r="E81" s="12"/>
      <c r="F81" s="12"/>
      <c r="G81" s="38"/>
      <c r="H81" s="12"/>
      <c r="I81" s="12"/>
      <c r="J81" s="12"/>
      <c r="K81" s="12"/>
      <c r="L81" s="35"/>
    </row>
    <row r="82" spans="1:12" x14ac:dyDescent="0.25">
      <c r="A82" s="11"/>
      <c r="B82" s="11"/>
      <c r="C82" s="11"/>
      <c r="D82" s="11"/>
      <c r="E82" s="11"/>
      <c r="F82" s="11"/>
      <c r="G82" s="39"/>
      <c r="H82" s="11"/>
      <c r="I82" s="11"/>
      <c r="J82" s="11"/>
      <c r="K82" s="11"/>
      <c r="L82" s="34"/>
    </row>
    <row r="83" spans="1:12" x14ac:dyDescent="0.25">
      <c r="A83" s="12"/>
      <c r="B83" s="12"/>
      <c r="C83" s="12"/>
      <c r="D83" s="12"/>
      <c r="E83" s="12"/>
      <c r="F83" s="12"/>
      <c r="G83" s="38"/>
      <c r="H83" s="12"/>
      <c r="I83" s="12"/>
      <c r="J83" s="12"/>
      <c r="K83" s="12"/>
      <c r="L83" s="35"/>
    </row>
    <row r="84" spans="1:12" x14ac:dyDescent="0.25">
      <c r="A84" s="11"/>
      <c r="B84" s="11"/>
      <c r="C84" s="11"/>
      <c r="D84" s="11"/>
      <c r="E84" s="11"/>
      <c r="F84" s="11"/>
      <c r="G84" s="39"/>
      <c r="H84" s="11"/>
      <c r="I84" s="11"/>
      <c r="J84" s="11"/>
      <c r="K84" s="11"/>
      <c r="L84" s="34"/>
    </row>
    <row r="85" spans="1:12" x14ac:dyDescent="0.25">
      <c r="A85" s="12"/>
      <c r="B85" s="12"/>
      <c r="C85" s="12"/>
      <c r="D85" s="12"/>
      <c r="E85" s="12"/>
      <c r="F85" s="12"/>
      <c r="G85" s="38"/>
      <c r="H85" s="12"/>
      <c r="I85" s="12"/>
      <c r="J85" s="12"/>
      <c r="K85" s="12"/>
      <c r="L85" s="35"/>
    </row>
    <row r="86" spans="1:12" x14ac:dyDescent="0.25">
      <c r="A86" s="11"/>
      <c r="B86" s="11"/>
      <c r="C86" s="11"/>
      <c r="D86" s="11"/>
      <c r="E86" s="11"/>
      <c r="F86" s="11"/>
      <c r="G86" s="39"/>
      <c r="H86" s="11"/>
      <c r="I86" s="11"/>
      <c r="J86" s="11"/>
      <c r="K86" s="11"/>
      <c r="L86" s="34"/>
    </row>
    <row r="87" spans="1:12" x14ac:dyDescent="0.25">
      <c r="A87" s="12"/>
      <c r="B87" s="12"/>
      <c r="C87" s="12"/>
      <c r="D87" s="12"/>
      <c r="E87" s="12"/>
      <c r="F87" s="12"/>
      <c r="G87" s="38"/>
      <c r="H87" s="12"/>
      <c r="I87" s="12"/>
      <c r="J87" s="12"/>
      <c r="K87" s="12"/>
      <c r="L87" s="35"/>
    </row>
    <row r="88" spans="1:12" x14ac:dyDescent="0.25">
      <c r="A88" s="11"/>
      <c r="B88" s="11"/>
      <c r="C88" s="11"/>
      <c r="D88" s="11"/>
      <c r="E88" s="11"/>
      <c r="F88" s="11"/>
      <c r="G88" s="39"/>
      <c r="H88" s="11"/>
      <c r="I88" s="11"/>
      <c r="J88" s="11"/>
      <c r="K88" s="11"/>
      <c r="L88" s="34"/>
    </row>
    <row r="89" spans="1:12" x14ac:dyDescent="0.25">
      <c r="A89" s="12"/>
      <c r="B89" s="12"/>
      <c r="C89" s="12"/>
      <c r="D89" s="12"/>
      <c r="E89" s="12"/>
      <c r="F89" s="12"/>
      <c r="G89" s="38"/>
      <c r="H89" s="12"/>
      <c r="I89" s="12"/>
      <c r="J89" s="12"/>
      <c r="K89" s="12"/>
      <c r="L89" s="35"/>
    </row>
    <row r="90" spans="1:12" x14ac:dyDescent="0.25">
      <c r="A90" s="11"/>
      <c r="B90" s="11"/>
      <c r="C90" s="11"/>
      <c r="D90" s="11"/>
      <c r="E90" s="11"/>
      <c r="F90" s="11"/>
      <c r="G90" s="39"/>
      <c r="H90" s="11"/>
      <c r="I90" s="11"/>
      <c r="J90" s="11"/>
      <c r="K90" s="11"/>
      <c r="L90" s="34"/>
    </row>
    <row r="91" spans="1:12" x14ac:dyDescent="0.25">
      <c r="A91" s="12"/>
      <c r="B91" s="12"/>
      <c r="C91" s="12"/>
      <c r="D91" s="12"/>
      <c r="E91" s="12"/>
      <c r="F91" s="12"/>
      <c r="G91" s="38"/>
      <c r="H91" s="12"/>
      <c r="I91" s="12"/>
      <c r="J91" s="12"/>
      <c r="K91" s="12"/>
      <c r="L91" s="35"/>
    </row>
    <row r="92" spans="1:12" x14ac:dyDescent="0.25">
      <c r="A92" s="11"/>
      <c r="B92" s="11"/>
      <c r="C92" s="11"/>
      <c r="D92" s="11"/>
      <c r="E92" s="11"/>
      <c r="F92" s="11"/>
      <c r="G92" s="39"/>
      <c r="H92" s="11"/>
      <c r="I92" s="11"/>
      <c r="J92" s="11"/>
      <c r="K92" s="11"/>
      <c r="L92" s="34"/>
    </row>
    <row r="93" spans="1:12" x14ac:dyDescent="0.25">
      <c r="A93" s="12"/>
      <c r="B93" s="12"/>
      <c r="C93" s="12"/>
      <c r="D93" s="12"/>
      <c r="E93" s="12"/>
      <c r="F93" s="12"/>
      <c r="G93" s="38"/>
      <c r="H93" s="12"/>
      <c r="I93" s="12"/>
      <c r="J93" s="12"/>
      <c r="K93" s="12"/>
      <c r="L93" s="35"/>
    </row>
    <row r="94" spans="1:12" x14ac:dyDescent="0.25">
      <c r="A94" s="11"/>
      <c r="B94" s="11"/>
      <c r="C94" s="11"/>
      <c r="D94" s="11"/>
      <c r="E94" s="11"/>
      <c r="F94" s="11"/>
      <c r="G94" s="39"/>
      <c r="H94" s="11"/>
      <c r="I94" s="11"/>
      <c r="J94" s="11"/>
      <c r="K94" s="11"/>
      <c r="L94" s="34"/>
    </row>
    <row r="95" spans="1:12" x14ac:dyDescent="0.25">
      <c r="A95" s="12"/>
      <c r="B95" s="12"/>
      <c r="C95" s="12"/>
      <c r="D95" s="12"/>
      <c r="E95" s="12"/>
      <c r="F95" s="12"/>
      <c r="G95" s="38"/>
      <c r="H95" s="12"/>
      <c r="I95" s="12"/>
      <c r="J95" s="12"/>
      <c r="K95" s="12"/>
      <c r="L95" s="35"/>
    </row>
    <row r="96" spans="1:12" x14ac:dyDescent="0.25">
      <c r="A96" s="11"/>
      <c r="B96" s="11"/>
      <c r="C96" s="11"/>
      <c r="D96" s="11"/>
      <c r="E96" s="11"/>
      <c r="F96" s="11"/>
      <c r="G96" s="39"/>
      <c r="H96" s="11"/>
      <c r="I96" s="11"/>
      <c r="J96" s="11"/>
      <c r="K96" s="11"/>
      <c r="L96" s="34"/>
    </row>
    <row r="97" spans="1:12" x14ac:dyDescent="0.25">
      <c r="A97" s="12"/>
      <c r="B97" s="12"/>
      <c r="C97" s="12"/>
      <c r="D97" s="12"/>
      <c r="E97" s="12"/>
      <c r="F97" s="12"/>
      <c r="G97" s="38"/>
      <c r="H97" s="12"/>
      <c r="I97" s="12"/>
      <c r="J97" s="12"/>
      <c r="K97" s="12"/>
      <c r="L97" s="35"/>
    </row>
    <row r="98" spans="1:12" x14ac:dyDescent="0.25">
      <c r="A98" s="11"/>
      <c r="B98" s="11"/>
      <c r="C98" s="11"/>
      <c r="D98" s="11"/>
      <c r="E98" s="11"/>
      <c r="F98" s="11"/>
      <c r="G98" s="39"/>
      <c r="H98" s="11"/>
      <c r="I98" s="11"/>
      <c r="J98" s="11"/>
      <c r="K98" s="11"/>
      <c r="L98" s="34"/>
    </row>
    <row r="99" spans="1:12" x14ac:dyDescent="0.25">
      <c r="A99" s="12"/>
      <c r="B99" s="12"/>
      <c r="C99" s="12"/>
      <c r="D99" s="12"/>
      <c r="E99" s="12"/>
      <c r="F99" s="12"/>
      <c r="G99" s="38"/>
      <c r="H99" s="12"/>
      <c r="I99" s="12"/>
      <c r="J99" s="12"/>
      <c r="K99" s="12"/>
      <c r="L99" s="35"/>
    </row>
    <row r="100" spans="1:12" x14ac:dyDescent="0.25">
      <c r="A100" s="11"/>
      <c r="B100" s="11"/>
      <c r="C100" s="11"/>
      <c r="D100" s="11"/>
      <c r="E100" s="11"/>
      <c r="F100" s="11"/>
      <c r="G100" s="39"/>
      <c r="H100" s="11"/>
      <c r="I100" s="11"/>
      <c r="J100" s="11"/>
      <c r="K100" s="11"/>
      <c r="L100" s="34"/>
    </row>
    <row r="101" spans="1:12" x14ac:dyDescent="0.25">
      <c r="A101" s="12"/>
      <c r="B101" s="12"/>
      <c r="C101" s="12"/>
      <c r="D101" s="12"/>
      <c r="E101" s="12"/>
      <c r="F101" s="12"/>
      <c r="G101" s="38"/>
      <c r="H101" s="12"/>
      <c r="I101" s="12"/>
      <c r="J101" s="12"/>
      <c r="K101" s="12"/>
      <c r="L101" s="35"/>
    </row>
    <row r="102" spans="1:12" x14ac:dyDescent="0.25">
      <c r="A102" s="11"/>
      <c r="B102" s="11"/>
      <c r="C102" s="11"/>
      <c r="D102" s="11"/>
      <c r="E102" s="11"/>
      <c r="F102" s="11"/>
      <c r="G102" s="39"/>
      <c r="H102" s="11"/>
      <c r="I102" s="11"/>
      <c r="J102" s="11"/>
      <c r="K102" s="11"/>
      <c r="L102" s="34"/>
    </row>
    <row r="103" spans="1:12" x14ac:dyDescent="0.25">
      <c r="A103" s="12"/>
      <c r="B103" s="12"/>
      <c r="C103" s="12"/>
      <c r="D103" s="12"/>
      <c r="E103" s="12"/>
      <c r="F103" s="12"/>
      <c r="G103" s="38"/>
      <c r="H103" s="12"/>
      <c r="I103" s="12"/>
      <c r="J103" s="12"/>
      <c r="K103" s="12"/>
      <c r="L103" s="35"/>
    </row>
    <row r="104" spans="1:12" x14ac:dyDescent="0.25">
      <c r="A104" s="11"/>
      <c r="B104" s="11"/>
      <c r="C104" s="11"/>
      <c r="D104" s="11"/>
      <c r="E104" s="11"/>
      <c r="F104" s="11"/>
      <c r="G104" s="39"/>
      <c r="H104" s="11"/>
      <c r="I104" s="11"/>
      <c r="J104" s="11"/>
      <c r="K104" s="11"/>
      <c r="L104" s="34"/>
    </row>
    <row r="105" spans="1:12" x14ac:dyDescent="0.25">
      <c r="A105" s="12"/>
      <c r="B105" s="12"/>
      <c r="C105" s="12"/>
      <c r="D105" s="12"/>
      <c r="E105" s="12"/>
      <c r="F105" s="12"/>
      <c r="G105" s="38"/>
      <c r="H105" s="12"/>
      <c r="I105" s="12"/>
      <c r="J105" s="12"/>
      <c r="K105" s="12"/>
      <c r="L105" s="35"/>
    </row>
    <row r="106" spans="1:12" x14ac:dyDescent="0.25">
      <c r="A106" s="11"/>
      <c r="B106" s="11"/>
      <c r="C106" s="11"/>
      <c r="D106" s="11"/>
      <c r="E106" s="11"/>
      <c r="F106" s="11"/>
      <c r="G106" s="39"/>
      <c r="H106" s="11"/>
      <c r="I106" s="11"/>
      <c r="J106" s="11"/>
      <c r="K106" s="11"/>
      <c r="L106" s="34"/>
    </row>
    <row r="107" spans="1:12" x14ac:dyDescent="0.25">
      <c r="A107" s="12"/>
      <c r="B107" s="12"/>
      <c r="C107" s="12"/>
      <c r="D107" s="12"/>
      <c r="E107" s="12"/>
      <c r="F107" s="12"/>
      <c r="G107" s="38"/>
      <c r="H107" s="12"/>
      <c r="I107" s="12"/>
      <c r="J107" s="12"/>
      <c r="K107" s="12"/>
      <c r="L107" s="35"/>
    </row>
    <row r="108" spans="1:12" x14ac:dyDescent="0.25">
      <c r="A108" s="11"/>
      <c r="B108" s="11"/>
      <c r="C108" s="11"/>
      <c r="D108" s="11"/>
      <c r="E108" s="11"/>
      <c r="F108" s="11"/>
      <c r="G108" s="39"/>
      <c r="H108" s="11"/>
      <c r="I108" s="11"/>
      <c r="J108" s="11"/>
      <c r="K108" s="11"/>
      <c r="L108" s="34"/>
    </row>
    <row r="109" spans="1:12" x14ac:dyDescent="0.25">
      <c r="A109" s="12"/>
      <c r="B109" s="12"/>
      <c r="C109" s="12"/>
      <c r="D109" s="12"/>
      <c r="E109" s="12"/>
      <c r="F109" s="12"/>
      <c r="G109" s="38"/>
      <c r="H109" s="12"/>
      <c r="I109" s="12"/>
      <c r="J109" s="12"/>
      <c r="K109" s="12"/>
      <c r="L109" s="35"/>
    </row>
    <row r="110" spans="1:12" x14ac:dyDescent="0.25">
      <c r="A110" s="11"/>
      <c r="B110" s="11"/>
      <c r="C110" s="11"/>
      <c r="D110" s="11"/>
      <c r="E110" s="11"/>
      <c r="F110" s="11"/>
      <c r="G110" s="39"/>
      <c r="H110" s="11"/>
      <c r="I110" s="11"/>
      <c r="J110" s="11"/>
      <c r="K110" s="11"/>
      <c r="L110" s="34"/>
    </row>
    <row r="111" spans="1:12" x14ac:dyDescent="0.25">
      <c r="A111" s="12"/>
      <c r="B111" s="12"/>
      <c r="C111" s="12"/>
      <c r="D111" s="12"/>
      <c r="E111" s="12"/>
      <c r="F111" s="12"/>
      <c r="G111" s="38"/>
      <c r="H111" s="12"/>
      <c r="I111" s="12"/>
      <c r="J111" s="12"/>
      <c r="K111" s="12"/>
      <c r="L111" s="35"/>
    </row>
    <row r="112" spans="1:12" x14ac:dyDescent="0.25">
      <c r="A112" s="11"/>
      <c r="B112" s="11"/>
      <c r="C112" s="11"/>
      <c r="D112" s="11"/>
      <c r="E112" s="11"/>
      <c r="F112" s="11"/>
      <c r="G112" s="39"/>
      <c r="H112" s="11"/>
      <c r="I112" s="11"/>
      <c r="J112" s="11"/>
      <c r="K112" s="11"/>
      <c r="L112" s="34"/>
    </row>
    <row r="113" spans="1:12" x14ac:dyDescent="0.25">
      <c r="A113" s="12"/>
      <c r="B113" s="12"/>
      <c r="C113" s="12"/>
      <c r="D113" s="12"/>
      <c r="E113" s="12"/>
      <c r="F113" s="12"/>
      <c r="G113" s="38"/>
      <c r="H113" s="12"/>
      <c r="I113" s="12"/>
      <c r="J113" s="12"/>
      <c r="K113" s="12"/>
      <c r="L113" s="35"/>
    </row>
    <row r="114" spans="1:12" x14ac:dyDescent="0.25">
      <c r="A114" s="11"/>
      <c r="B114" s="11"/>
      <c r="C114" s="11"/>
      <c r="D114" s="11"/>
      <c r="E114" s="11"/>
      <c r="F114" s="11"/>
      <c r="G114" s="39"/>
      <c r="H114" s="11"/>
      <c r="I114" s="11"/>
      <c r="J114" s="11"/>
      <c r="K114" s="11"/>
      <c r="L114" s="34"/>
    </row>
    <row r="115" spans="1:12" x14ac:dyDescent="0.25">
      <c r="A115" s="12"/>
      <c r="B115" s="12"/>
      <c r="C115" s="12"/>
      <c r="D115" s="12"/>
      <c r="E115" s="12"/>
      <c r="F115" s="12"/>
      <c r="G115" s="38"/>
      <c r="H115" s="12"/>
      <c r="I115" s="12"/>
      <c r="J115" s="12"/>
      <c r="K115" s="12"/>
      <c r="L115" s="35"/>
    </row>
    <row r="116" spans="1:12" x14ac:dyDescent="0.25">
      <c r="A116" s="11"/>
      <c r="B116" s="11"/>
      <c r="C116" s="11"/>
      <c r="D116" s="11"/>
      <c r="E116" s="11"/>
      <c r="F116" s="11"/>
      <c r="G116" s="39"/>
      <c r="H116" s="11"/>
      <c r="I116" s="11"/>
      <c r="J116" s="11"/>
      <c r="K116" s="11"/>
      <c r="L116" s="34"/>
    </row>
    <row r="117" spans="1:12" x14ac:dyDescent="0.25">
      <c r="A117" s="12"/>
      <c r="B117" s="12"/>
      <c r="C117" s="12"/>
      <c r="D117" s="12"/>
      <c r="E117" s="12"/>
      <c r="F117" s="12"/>
      <c r="G117" s="38"/>
      <c r="H117" s="12"/>
      <c r="I117" s="12"/>
      <c r="J117" s="12"/>
      <c r="K117" s="12"/>
      <c r="L117" s="35"/>
    </row>
    <row r="118" spans="1:12" x14ac:dyDescent="0.25">
      <c r="A118" s="11"/>
      <c r="B118" s="11"/>
      <c r="C118" s="11"/>
      <c r="D118" s="11"/>
      <c r="E118" s="11"/>
      <c r="F118" s="11"/>
      <c r="G118" s="39"/>
      <c r="H118" s="11"/>
      <c r="I118" s="11"/>
      <c r="J118" s="11"/>
      <c r="K118" s="11"/>
      <c r="L118" s="34"/>
    </row>
    <row r="119" spans="1:12" x14ac:dyDescent="0.25">
      <c r="A119" s="12"/>
      <c r="B119" s="12"/>
      <c r="C119" s="12"/>
      <c r="D119" s="12"/>
      <c r="E119" s="12"/>
      <c r="F119" s="12"/>
      <c r="G119" s="38"/>
      <c r="H119" s="12"/>
      <c r="I119" s="12"/>
      <c r="J119" s="12"/>
      <c r="K119" s="12"/>
      <c r="L119" s="35"/>
    </row>
    <row r="120" spans="1:12" x14ac:dyDescent="0.25">
      <c r="A120" s="11"/>
      <c r="B120" s="11"/>
      <c r="C120" s="11"/>
      <c r="D120" s="11"/>
      <c r="E120" s="11"/>
      <c r="F120" s="11"/>
      <c r="G120" s="39"/>
      <c r="H120" s="11"/>
      <c r="I120" s="11"/>
      <c r="J120" s="11"/>
      <c r="K120" s="11"/>
      <c r="L120" s="34"/>
    </row>
    <row r="121" spans="1:12" x14ac:dyDescent="0.25">
      <c r="A121" s="12"/>
      <c r="B121" s="12"/>
      <c r="C121" s="12"/>
      <c r="D121" s="12"/>
      <c r="E121" s="12"/>
      <c r="F121" s="12"/>
      <c r="G121" s="38"/>
      <c r="H121" s="12"/>
      <c r="I121" s="12"/>
      <c r="J121" s="12"/>
      <c r="K121" s="12"/>
      <c r="L121" s="35"/>
    </row>
    <row r="122" spans="1:12" x14ac:dyDescent="0.25">
      <c r="A122" s="11"/>
      <c r="B122" s="11"/>
      <c r="C122" s="11"/>
      <c r="D122" s="11"/>
      <c r="E122" s="11"/>
      <c r="F122" s="11"/>
      <c r="G122" s="39"/>
      <c r="H122" s="11"/>
      <c r="I122" s="11"/>
      <c r="J122" s="11"/>
      <c r="K122" s="11"/>
      <c r="L122" s="34"/>
    </row>
    <row r="123" spans="1:12" x14ac:dyDescent="0.25">
      <c r="A123" s="12"/>
      <c r="B123" s="12"/>
      <c r="C123" s="12"/>
      <c r="D123" s="12"/>
      <c r="E123" s="12"/>
      <c r="F123" s="12"/>
      <c r="G123" s="38"/>
      <c r="H123" s="12"/>
      <c r="I123" s="12"/>
      <c r="J123" s="12"/>
      <c r="K123" s="12"/>
      <c r="L123" s="35"/>
    </row>
    <row r="124" spans="1:12" x14ac:dyDescent="0.25">
      <c r="A124" s="11"/>
      <c r="B124" s="11"/>
      <c r="C124" s="11"/>
      <c r="D124" s="11"/>
      <c r="E124" s="11"/>
      <c r="F124" s="11"/>
      <c r="G124" s="39"/>
      <c r="H124" s="11"/>
      <c r="I124" s="11"/>
      <c r="J124" s="11"/>
      <c r="K124" s="11"/>
      <c r="L124" s="34"/>
    </row>
    <row r="125" spans="1:12" x14ac:dyDescent="0.25">
      <c r="A125" s="12"/>
      <c r="B125" s="12"/>
      <c r="C125" s="12"/>
      <c r="D125" s="12"/>
      <c r="E125" s="12"/>
      <c r="F125" s="12"/>
      <c r="G125" s="38"/>
      <c r="H125" s="12"/>
      <c r="I125" s="12"/>
      <c r="J125" s="12"/>
      <c r="K125" s="12"/>
      <c r="L125" s="35"/>
    </row>
    <row r="126" spans="1:12" x14ac:dyDescent="0.25">
      <c r="A126" s="11"/>
      <c r="B126" s="11"/>
      <c r="C126" s="11"/>
      <c r="D126" s="11"/>
      <c r="E126" s="11"/>
      <c r="F126" s="11"/>
      <c r="G126" s="39"/>
      <c r="H126" s="11"/>
      <c r="I126" s="11"/>
      <c r="J126" s="11"/>
      <c r="K126" s="11"/>
      <c r="L126" s="34"/>
    </row>
    <row r="127" spans="1:12" x14ac:dyDescent="0.25">
      <c r="A127" s="12"/>
      <c r="B127" s="12"/>
      <c r="C127" s="12"/>
      <c r="D127" s="12"/>
      <c r="E127" s="12"/>
      <c r="F127" s="12"/>
      <c r="G127" s="38"/>
      <c r="H127" s="12"/>
      <c r="I127" s="12"/>
      <c r="J127" s="12"/>
      <c r="K127" s="12"/>
      <c r="L127" s="35"/>
    </row>
    <row r="128" spans="1:12" x14ac:dyDescent="0.25">
      <c r="A128" s="11"/>
      <c r="B128" s="11"/>
      <c r="C128" s="11"/>
      <c r="D128" s="11"/>
      <c r="E128" s="11"/>
      <c r="F128" s="11"/>
      <c r="G128" s="39"/>
      <c r="H128" s="11"/>
      <c r="I128" s="11"/>
      <c r="J128" s="11"/>
      <c r="K128" s="11"/>
      <c r="L128" s="34"/>
    </row>
    <row r="129" spans="1:12" x14ac:dyDescent="0.25">
      <c r="A129" s="12"/>
      <c r="B129" s="12"/>
      <c r="C129" s="12"/>
      <c r="D129" s="12"/>
      <c r="E129" s="12"/>
      <c r="F129" s="12"/>
      <c r="G129" s="38"/>
      <c r="H129" s="12"/>
      <c r="I129" s="12"/>
      <c r="J129" s="12"/>
      <c r="K129" s="12"/>
      <c r="L129" s="35"/>
    </row>
    <row r="130" spans="1:12" x14ac:dyDescent="0.25">
      <c r="A130" s="11"/>
      <c r="B130" s="11"/>
      <c r="C130" s="11"/>
      <c r="D130" s="11"/>
      <c r="E130" s="11"/>
      <c r="F130" s="11"/>
      <c r="G130" s="39"/>
      <c r="H130" s="11"/>
      <c r="I130" s="11"/>
      <c r="J130" s="11"/>
      <c r="K130" s="11"/>
      <c r="L130" s="34"/>
    </row>
    <row r="131" spans="1:12" x14ac:dyDescent="0.25">
      <c r="A131" s="12"/>
      <c r="B131" s="12"/>
      <c r="C131" s="12"/>
      <c r="D131" s="12"/>
      <c r="E131" s="12"/>
      <c r="F131" s="12"/>
      <c r="G131" s="38"/>
      <c r="H131" s="12"/>
      <c r="I131" s="12"/>
      <c r="J131" s="12"/>
      <c r="K131" s="12"/>
      <c r="L131" s="35"/>
    </row>
    <row r="132" spans="1:12" x14ac:dyDescent="0.25">
      <c r="A132" s="11"/>
      <c r="B132" s="11"/>
      <c r="C132" s="11"/>
      <c r="D132" s="11"/>
      <c r="E132" s="11"/>
      <c r="F132" s="11"/>
      <c r="G132" s="39"/>
      <c r="H132" s="11"/>
      <c r="I132" s="11"/>
      <c r="J132" s="11"/>
      <c r="K132" s="11"/>
      <c r="L132" s="34"/>
    </row>
    <row r="133" spans="1:12" x14ac:dyDescent="0.25">
      <c r="A133" s="12"/>
      <c r="B133" s="12"/>
      <c r="C133" s="12"/>
      <c r="D133" s="12"/>
      <c r="E133" s="12"/>
      <c r="F133" s="12"/>
      <c r="G133" s="38"/>
      <c r="H133" s="12"/>
      <c r="I133" s="12"/>
      <c r="J133" s="12"/>
      <c r="K133" s="12"/>
      <c r="L133" s="35"/>
    </row>
    <row r="134" spans="1:12" x14ac:dyDescent="0.25">
      <c r="A134" s="11"/>
      <c r="B134" s="11"/>
      <c r="C134" s="11"/>
      <c r="D134" s="11"/>
      <c r="E134" s="11"/>
      <c r="F134" s="11"/>
      <c r="G134" s="39"/>
      <c r="H134" s="11"/>
      <c r="I134" s="11"/>
      <c r="J134" s="11"/>
      <c r="K134" s="11"/>
      <c r="L134" s="34"/>
    </row>
    <row r="135" spans="1:12" x14ac:dyDescent="0.25">
      <c r="A135" s="12"/>
      <c r="B135" s="12"/>
      <c r="C135" s="12"/>
      <c r="D135" s="12"/>
      <c r="E135" s="12"/>
      <c r="F135" s="12"/>
      <c r="G135" s="38"/>
      <c r="H135" s="12"/>
      <c r="I135" s="12"/>
      <c r="J135" s="12"/>
      <c r="K135" s="12"/>
      <c r="L135" s="35"/>
    </row>
    <row r="136" spans="1:12" x14ac:dyDescent="0.25">
      <c r="A136" s="11"/>
      <c r="B136" s="11"/>
      <c r="C136" s="11"/>
      <c r="D136" s="11"/>
      <c r="E136" s="11"/>
      <c r="F136" s="11"/>
      <c r="G136" s="39"/>
      <c r="H136" s="11"/>
      <c r="I136" s="11"/>
      <c r="J136" s="11"/>
      <c r="K136" s="11"/>
      <c r="L136" s="34"/>
    </row>
    <row r="137" spans="1:12" x14ac:dyDescent="0.25">
      <c r="A137" s="12"/>
      <c r="B137" s="12"/>
      <c r="C137" s="12"/>
      <c r="D137" s="12"/>
      <c r="E137" s="12"/>
      <c r="F137" s="12"/>
      <c r="G137" s="38"/>
      <c r="H137" s="12"/>
      <c r="I137" s="12"/>
      <c r="J137" s="12"/>
      <c r="K137" s="12"/>
      <c r="L137" s="35"/>
    </row>
    <row r="138" spans="1:12" x14ac:dyDescent="0.25">
      <c r="A138" s="11"/>
      <c r="B138" s="11"/>
      <c r="C138" s="11"/>
      <c r="D138" s="11"/>
      <c r="E138" s="11"/>
      <c r="F138" s="11"/>
      <c r="G138" s="39"/>
      <c r="H138" s="11"/>
      <c r="I138" s="11"/>
      <c r="J138" s="11"/>
      <c r="K138" s="11"/>
      <c r="L138" s="34"/>
    </row>
    <row r="139" spans="1:12" x14ac:dyDescent="0.25">
      <c r="A139" s="12"/>
      <c r="B139" s="12"/>
      <c r="C139" s="12"/>
      <c r="D139" s="12"/>
      <c r="E139" s="12"/>
      <c r="F139" s="12"/>
      <c r="G139" s="38"/>
      <c r="H139" s="12"/>
      <c r="I139" s="12"/>
      <c r="J139" s="12"/>
      <c r="K139" s="12"/>
      <c r="L139" s="35"/>
    </row>
    <row r="140" spans="1:12" x14ac:dyDescent="0.25">
      <c r="A140" s="11"/>
      <c r="B140" s="11"/>
      <c r="C140" s="11"/>
      <c r="D140" s="11"/>
      <c r="E140" s="11"/>
      <c r="F140" s="11"/>
      <c r="G140" s="39"/>
      <c r="H140" s="11"/>
      <c r="I140" s="11"/>
      <c r="J140" s="11"/>
      <c r="K140" s="11"/>
      <c r="L140" s="34"/>
    </row>
    <row r="141" spans="1:12" x14ac:dyDescent="0.25">
      <c r="A141" s="12"/>
      <c r="B141" s="12"/>
      <c r="C141" s="12"/>
      <c r="D141" s="12"/>
      <c r="E141" s="12"/>
      <c r="F141" s="12"/>
      <c r="G141" s="38"/>
      <c r="H141" s="12"/>
      <c r="I141" s="12"/>
      <c r="J141" s="12"/>
      <c r="K141" s="12"/>
      <c r="L141" s="35"/>
    </row>
    <row r="142" spans="1:12" x14ac:dyDescent="0.25">
      <c r="A142" s="11"/>
      <c r="B142" s="11"/>
      <c r="C142" s="11"/>
      <c r="D142" s="11"/>
      <c r="E142" s="11"/>
      <c r="F142" s="11"/>
      <c r="G142" s="39"/>
      <c r="H142" s="11"/>
      <c r="I142" s="11"/>
      <c r="J142" s="11"/>
      <c r="K142" s="11"/>
      <c r="L142" s="34"/>
    </row>
    <row r="143" spans="1:12" x14ac:dyDescent="0.25">
      <c r="A143" s="12"/>
      <c r="B143" s="12"/>
      <c r="C143" s="12"/>
      <c r="D143" s="12"/>
      <c r="E143" s="12"/>
      <c r="F143" s="12"/>
      <c r="G143" s="38"/>
      <c r="H143" s="12"/>
      <c r="I143" s="12"/>
      <c r="J143" s="12"/>
      <c r="K143" s="12"/>
      <c r="L143" s="35"/>
    </row>
    <row r="144" spans="1:12" x14ac:dyDescent="0.25">
      <c r="A144" s="11"/>
      <c r="B144" s="11"/>
      <c r="C144" s="11"/>
      <c r="D144" s="11"/>
      <c r="E144" s="11"/>
      <c r="F144" s="11"/>
      <c r="G144" s="39"/>
      <c r="H144" s="11"/>
      <c r="I144" s="11"/>
      <c r="J144" s="11"/>
      <c r="K144" s="11"/>
      <c r="L144" s="34"/>
    </row>
    <row r="145" spans="1:12" x14ac:dyDescent="0.25">
      <c r="A145" s="12"/>
      <c r="B145" s="12"/>
      <c r="C145" s="12"/>
      <c r="D145" s="12"/>
      <c r="E145" s="12"/>
      <c r="F145" s="12"/>
      <c r="G145" s="38"/>
      <c r="H145" s="12"/>
      <c r="I145" s="12"/>
      <c r="J145" s="12"/>
      <c r="K145" s="12"/>
      <c r="L145" s="35"/>
    </row>
    <row r="146" spans="1:12" x14ac:dyDescent="0.25">
      <c r="A146" s="11"/>
      <c r="B146" s="11"/>
      <c r="C146" s="11"/>
      <c r="D146" s="11"/>
      <c r="E146" s="11"/>
      <c r="F146" s="11"/>
      <c r="G146" s="39"/>
      <c r="H146" s="11"/>
      <c r="I146" s="11"/>
      <c r="J146" s="11"/>
      <c r="K146" s="11"/>
      <c r="L146" s="34"/>
    </row>
    <row r="147" spans="1:12" x14ac:dyDescent="0.25">
      <c r="A147" s="12"/>
      <c r="B147" s="12"/>
      <c r="C147" s="12"/>
      <c r="D147" s="12"/>
      <c r="E147" s="12"/>
      <c r="F147" s="12"/>
      <c r="G147" s="38"/>
      <c r="H147" s="12"/>
      <c r="I147" s="12"/>
      <c r="J147" s="12"/>
      <c r="K147" s="12"/>
      <c r="L147" s="35"/>
    </row>
    <row r="148" spans="1:12" x14ac:dyDescent="0.25">
      <c r="A148" s="11"/>
      <c r="B148" s="11"/>
      <c r="C148" s="11"/>
      <c r="D148" s="11"/>
      <c r="E148" s="11"/>
      <c r="F148" s="11"/>
      <c r="G148" s="39"/>
      <c r="H148" s="11"/>
      <c r="I148" s="11"/>
      <c r="J148" s="11"/>
      <c r="K148" s="11"/>
      <c r="L148" s="34"/>
    </row>
    <row r="149" spans="1:12" x14ac:dyDescent="0.25">
      <c r="A149" s="12"/>
      <c r="B149" s="12"/>
      <c r="C149" s="12"/>
      <c r="D149" s="12"/>
      <c r="E149" s="12"/>
      <c r="F149" s="12"/>
      <c r="G149" s="38"/>
      <c r="H149" s="12"/>
      <c r="I149" s="12"/>
      <c r="J149" s="12"/>
      <c r="K149" s="12"/>
      <c r="L149" s="35"/>
    </row>
    <row r="150" spans="1:12" x14ac:dyDescent="0.25">
      <c r="A150" s="11"/>
      <c r="B150" s="11"/>
      <c r="C150" s="11"/>
      <c r="D150" s="11"/>
      <c r="E150" s="11"/>
      <c r="F150" s="11"/>
      <c r="G150" s="39"/>
      <c r="H150" s="11"/>
      <c r="I150" s="11"/>
      <c r="J150" s="11"/>
      <c r="K150" s="11"/>
      <c r="L150" s="34"/>
    </row>
    <row r="151" spans="1:12" x14ac:dyDescent="0.25">
      <c r="A151" s="12"/>
      <c r="B151" s="12"/>
      <c r="C151" s="12"/>
      <c r="D151" s="12"/>
      <c r="E151" s="12"/>
      <c r="F151" s="12"/>
      <c r="G151" s="38"/>
      <c r="H151" s="12"/>
      <c r="I151" s="12"/>
      <c r="J151" s="12"/>
      <c r="K151" s="12"/>
      <c r="L151" s="35"/>
    </row>
    <row r="152" spans="1:12" x14ac:dyDescent="0.25">
      <c r="A152" s="11"/>
      <c r="B152" s="11"/>
      <c r="C152" s="11"/>
      <c r="D152" s="11"/>
      <c r="E152" s="11"/>
      <c r="F152" s="11"/>
      <c r="G152" s="39"/>
      <c r="H152" s="11"/>
      <c r="I152" s="11"/>
      <c r="J152" s="11"/>
      <c r="K152" s="11"/>
      <c r="L152" s="34"/>
    </row>
    <row r="153" spans="1:12" x14ac:dyDescent="0.25">
      <c r="A153" s="12"/>
      <c r="B153" s="12"/>
      <c r="C153" s="12"/>
      <c r="D153" s="12"/>
      <c r="E153" s="12"/>
      <c r="F153" s="12"/>
      <c r="G153" s="38"/>
      <c r="H153" s="12"/>
      <c r="I153" s="12"/>
      <c r="J153" s="12"/>
      <c r="K153" s="12"/>
      <c r="L153" s="35"/>
    </row>
    <row r="154" spans="1:12" x14ac:dyDescent="0.25">
      <c r="A154" s="11"/>
      <c r="B154" s="11"/>
      <c r="C154" s="11"/>
      <c r="D154" s="11"/>
      <c r="E154" s="11"/>
      <c r="F154" s="11"/>
      <c r="G154" s="39"/>
      <c r="H154" s="11"/>
      <c r="I154" s="11"/>
      <c r="J154" s="11"/>
      <c r="K154" s="11"/>
      <c r="L154" s="34"/>
    </row>
    <row r="155" spans="1:12" x14ac:dyDescent="0.25">
      <c r="A155" s="12"/>
      <c r="B155" s="12"/>
      <c r="C155" s="12"/>
      <c r="D155" s="12"/>
      <c r="E155" s="12"/>
      <c r="F155" s="12"/>
      <c r="G155" s="38"/>
      <c r="H155" s="12"/>
      <c r="I155" s="12"/>
      <c r="J155" s="12"/>
      <c r="K155" s="12"/>
      <c r="L155" s="35"/>
    </row>
    <row r="156" spans="1:12" x14ac:dyDescent="0.25">
      <c r="A156" s="11"/>
      <c r="B156" s="11"/>
      <c r="C156" s="11"/>
      <c r="D156" s="11"/>
      <c r="E156" s="11"/>
      <c r="F156" s="11"/>
      <c r="G156" s="39"/>
      <c r="H156" s="11"/>
      <c r="I156" s="11"/>
      <c r="J156" s="11"/>
      <c r="K156" s="11"/>
      <c r="L156" s="34"/>
    </row>
    <row r="157" spans="1:12" x14ac:dyDescent="0.25">
      <c r="A157" s="12"/>
      <c r="B157" s="12"/>
      <c r="C157" s="12"/>
      <c r="D157" s="12"/>
      <c r="E157" s="12"/>
      <c r="F157" s="12"/>
      <c r="G157" s="38"/>
      <c r="H157" s="12"/>
      <c r="I157" s="12"/>
      <c r="J157" s="12"/>
      <c r="K157" s="12"/>
      <c r="L157" s="35"/>
    </row>
    <row r="158" spans="1:12" x14ac:dyDescent="0.25">
      <c r="A158" s="11"/>
      <c r="B158" s="11"/>
      <c r="C158" s="11"/>
      <c r="D158" s="11"/>
      <c r="E158" s="11"/>
      <c r="F158" s="11"/>
      <c r="G158" s="39"/>
      <c r="H158" s="11"/>
      <c r="I158" s="11"/>
      <c r="J158" s="11"/>
      <c r="K158" s="11"/>
      <c r="L158" s="34"/>
    </row>
    <row r="159" spans="1:12" x14ac:dyDescent="0.25">
      <c r="A159" s="12"/>
      <c r="B159" s="12"/>
      <c r="C159" s="12"/>
      <c r="D159" s="12"/>
      <c r="E159" s="12"/>
      <c r="F159" s="12"/>
      <c r="G159" s="38"/>
      <c r="H159" s="12"/>
      <c r="I159" s="12"/>
      <c r="J159" s="12"/>
      <c r="K159" s="12"/>
      <c r="L159" s="35"/>
    </row>
    <row r="160" spans="1:12" x14ac:dyDescent="0.25">
      <c r="A160" s="11"/>
      <c r="B160" s="11"/>
      <c r="C160" s="11"/>
      <c r="D160" s="11"/>
      <c r="E160" s="11"/>
      <c r="F160" s="11"/>
      <c r="G160" s="39"/>
      <c r="H160" s="11"/>
      <c r="I160" s="11"/>
      <c r="J160" s="11"/>
      <c r="K160" s="11"/>
      <c r="L160" s="34"/>
    </row>
    <row r="161" spans="1:12" x14ac:dyDescent="0.25">
      <c r="A161" s="12"/>
      <c r="B161" s="12"/>
      <c r="C161" s="12"/>
      <c r="D161" s="12"/>
      <c r="E161" s="12"/>
      <c r="F161" s="12"/>
      <c r="G161" s="38"/>
      <c r="H161" s="12"/>
      <c r="I161" s="12"/>
      <c r="J161" s="12"/>
      <c r="K161" s="12"/>
      <c r="L161" s="35"/>
    </row>
    <row r="162" spans="1:12" x14ac:dyDescent="0.25">
      <c r="A162" s="11"/>
      <c r="B162" s="11"/>
      <c r="C162" s="11"/>
      <c r="D162" s="11"/>
      <c r="E162" s="11"/>
      <c r="F162" s="11"/>
      <c r="G162" s="39"/>
      <c r="H162" s="11"/>
      <c r="I162" s="11"/>
      <c r="J162" s="11"/>
      <c r="K162" s="11"/>
      <c r="L162" s="34"/>
    </row>
    <row r="163" spans="1:12" x14ac:dyDescent="0.25">
      <c r="A163" s="12"/>
      <c r="B163" s="12"/>
      <c r="C163" s="12"/>
      <c r="D163" s="12"/>
      <c r="E163" s="12"/>
      <c r="F163" s="12"/>
      <c r="G163" s="38"/>
      <c r="H163" s="12"/>
      <c r="I163" s="12"/>
      <c r="J163" s="12"/>
      <c r="K163" s="12"/>
      <c r="L163" s="35"/>
    </row>
    <row r="164" spans="1:12" x14ac:dyDescent="0.25">
      <c r="A164" s="11"/>
      <c r="B164" s="11"/>
      <c r="C164" s="11"/>
      <c r="D164" s="11"/>
      <c r="E164" s="11"/>
      <c r="F164" s="11"/>
      <c r="G164" s="39"/>
      <c r="H164" s="11"/>
      <c r="I164" s="11"/>
      <c r="J164" s="11"/>
      <c r="K164" s="11"/>
      <c r="L164" s="34"/>
    </row>
    <row r="165" spans="1:12" x14ac:dyDescent="0.25">
      <c r="A165" s="12"/>
      <c r="B165" s="12"/>
      <c r="C165" s="12"/>
      <c r="D165" s="12"/>
      <c r="E165" s="12"/>
      <c r="F165" s="12"/>
      <c r="G165" s="38"/>
      <c r="H165" s="12"/>
      <c r="I165" s="12"/>
      <c r="J165" s="12"/>
      <c r="K165" s="12"/>
      <c r="L165" s="35"/>
    </row>
    <row r="166" spans="1:12" x14ac:dyDescent="0.25">
      <c r="A166" s="11"/>
      <c r="B166" s="11"/>
      <c r="C166" s="11"/>
      <c r="D166" s="11"/>
      <c r="E166" s="11"/>
      <c r="F166" s="11"/>
      <c r="G166" s="39"/>
      <c r="H166" s="11"/>
      <c r="I166" s="11"/>
      <c r="J166" s="11"/>
      <c r="K166" s="11"/>
      <c r="L166" s="34"/>
    </row>
    <row r="167" spans="1:12" x14ac:dyDescent="0.25">
      <c r="A167" s="12"/>
      <c r="B167" s="12"/>
      <c r="C167" s="12"/>
      <c r="D167" s="12"/>
      <c r="E167" s="12"/>
      <c r="F167" s="12"/>
      <c r="G167" s="38"/>
      <c r="H167" s="12"/>
      <c r="I167" s="12"/>
      <c r="J167" s="12"/>
      <c r="K167" s="12"/>
      <c r="L167" s="35"/>
    </row>
    <row r="168" spans="1:12" x14ac:dyDescent="0.25">
      <c r="A168" s="11"/>
      <c r="B168" s="11"/>
      <c r="C168" s="11"/>
      <c r="D168" s="11"/>
      <c r="E168" s="11"/>
      <c r="F168" s="11"/>
      <c r="G168" s="39"/>
      <c r="H168" s="11"/>
      <c r="I168" s="11"/>
      <c r="J168" s="11"/>
      <c r="K168" s="11"/>
      <c r="L168" s="34"/>
    </row>
    <row r="169" spans="1:12" x14ac:dyDescent="0.25">
      <c r="A169" s="12"/>
      <c r="B169" s="12"/>
      <c r="C169" s="12"/>
      <c r="D169" s="12"/>
      <c r="E169" s="12"/>
      <c r="F169" s="12"/>
      <c r="G169" s="38"/>
      <c r="H169" s="12"/>
      <c r="I169" s="12"/>
      <c r="J169" s="12"/>
      <c r="K169" s="12"/>
      <c r="L169" s="35"/>
    </row>
    <row r="170" spans="1:12" x14ac:dyDescent="0.25">
      <c r="A170" s="11"/>
      <c r="B170" s="11"/>
      <c r="C170" s="11"/>
      <c r="D170" s="11"/>
      <c r="E170" s="11"/>
      <c r="F170" s="11"/>
      <c r="G170" s="39"/>
      <c r="H170" s="11"/>
      <c r="I170" s="11"/>
      <c r="J170" s="11"/>
      <c r="K170" s="11"/>
      <c r="L170" s="34"/>
    </row>
    <row r="171" spans="1:12" x14ac:dyDescent="0.25">
      <c r="A171" s="12"/>
      <c r="B171" s="12"/>
      <c r="C171" s="12"/>
      <c r="D171" s="12"/>
      <c r="E171" s="12"/>
      <c r="F171" s="12"/>
      <c r="G171" s="38"/>
      <c r="H171" s="12"/>
      <c r="I171" s="12"/>
      <c r="J171" s="12"/>
      <c r="K171" s="12"/>
      <c r="L171" s="35"/>
    </row>
    <row r="172" spans="1:12" x14ac:dyDescent="0.25">
      <c r="A172" s="11"/>
      <c r="B172" s="11"/>
      <c r="C172" s="11"/>
      <c r="D172" s="11"/>
      <c r="E172" s="11"/>
      <c r="F172" s="11"/>
      <c r="G172" s="39"/>
      <c r="H172" s="11"/>
      <c r="I172" s="11"/>
      <c r="J172" s="11"/>
      <c r="K172" s="11"/>
      <c r="L172" s="34"/>
    </row>
    <row r="173" spans="1:12" x14ac:dyDescent="0.25">
      <c r="A173" s="12"/>
      <c r="B173" s="12"/>
      <c r="C173" s="12"/>
      <c r="D173" s="12"/>
      <c r="E173" s="12"/>
      <c r="F173" s="12"/>
      <c r="G173" s="38"/>
      <c r="H173" s="12"/>
      <c r="I173" s="12"/>
      <c r="J173" s="12"/>
      <c r="K173" s="12"/>
      <c r="L173" s="35"/>
    </row>
    <row r="174" spans="1:12" x14ac:dyDescent="0.25">
      <c r="A174" s="11"/>
      <c r="B174" s="11"/>
      <c r="C174" s="11"/>
      <c r="D174" s="11"/>
      <c r="E174" s="11"/>
      <c r="F174" s="11"/>
      <c r="G174" s="39"/>
      <c r="H174" s="11"/>
      <c r="I174" s="11"/>
      <c r="J174" s="11"/>
      <c r="K174" s="11"/>
      <c r="L174" s="34"/>
    </row>
    <row r="175" spans="1:12" x14ac:dyDescent="0.25">
      <c r="A175" s="12"/>
      <c r="B175" s="12"/>
      <c r="C175" s="12"/>
      <c r="D175" s="12"/>
      <c r="E175" s="12"/>
      <c r="F175" s="12"/>
      <c r="G175" s="38"/>
      <c r="H175" s="12"/>
      <c r="I175" s="12"/>
      <c r="J175" s="12"/>
      <c r="K175" s="12"/>
      <c r="L175" s="35"/>
    </row>
    <row r="176" spans="1:12" x14ac:dyDescent="0.25">
      <c r="A176" s="11"/>
      <c r="B176" s="11"/>
      <c r="C176" s="11"/>
      <c r="D176" s="11"/>
      <c r="E176" s="11"/>
      <c r="F176" s="11"/>
      <c r="G176" s="39"/>
      <c r="H176" s="11"/>
      <c r="I176" s="11"/>
      <c r="J176" s="11"/>
      <c r="K176" s="11"/>
      <c r="L176" s="34"/>
    </row>
    <row r="177" spans="1:12" x14ac:dyDescent="0.25">
      <c r="A177" s="12"/>
      <c r="B177" s="12"/>
      <c r="C177" s="12"/>
      <c r="D177" s="12"/>
      <c r="E177" s="12"/>
      <c r="F177" s="12"/>
      <c r="G177" s="38"/>
      <c r="H177" s="12"/>
      <c r="I177" s="12"/>
      <c r="J177" s="12"/>
      <c r="K177" s="12"/>
      <c r="L177" s="35"/>
    </row>
    <row r="178" spans="1:12" x14ac:dyDescent="0.25">
      <c r="A178" s="11"/>
      <c r="B178" s="11"/>
      <c r="C178" s="11"/>
      <c r="D178" s="11"/>
      <c r="E178" s="11"/>
      <c r="F178" s="11"/>
      <c r="G178" s="39"/>
      <c r="H178" s="11"/>
      <c r="I178" s="11"/>
      <c r="J178" s="11"/>
      <c r="K178" s="11"/>
      <c r="L178" s="34"/>
    </row>
    <row r="179" spans="1:12" x14ac:dyDescent="0.25">
      <c r="A179" s="12"/>
      <c r="B179" s="12"/>
      <c r="C179" s="12"/>
      <c r="D179" s="12"/>
      <c r="E179" s="12"/>
      <c r="F179" s="12"/>
      <c r="G179" s="38"/>
      <c r="H179" s="12"/>
      <c r="I179" s="12"/>
      <c r="J179" s="12"/>
      <c r="K179" s="12"/>
      <c r="L179" s="35"/>
    </row>
    <row r="180" spans="1:12" x14ac:dyDescent="0.25">
      <c r="A180" s="11"/>
      <c r="B180" s="11"/>
      <c r="C180" s="11"/>
      <c r="D180" s="11"/>
      <c r="E180" s="11"/>
      <c r="F180" s="11"/>
      <c r="G180" s="39"/>
      <c r="H180" s="11"/>
      <c r="I180" s="11"/>
      <c r="J180" s="11"/>
      <c r="K180" s="11"/>
      <c r="L180" s="34"/>
    </row>
    <row r="181" spans="1:12" x14ac:dyDescent="0.25">
      <c r="A181" s="12"/>
      <c r="B181" s="12"/>
      <c r="C181" s="12"/>
      <c r="D181" s="12"/>
      <c r="E181" s="12"/>
      <c r="F181" s="12"/>
      <c r="G181" s="38"/>
      <c r="H181" s="12"/>
      <c r="I181" s="12"/>
      <c r="J181" s="12"/>
      <c r="K181" s="12"/>
      <c r="L181" s="35"/>
    </row>
    <row r="182" spans="1:12" x14ac:dyDescent="0.25">
      <c r="A182" s="11"/>
      <c r="B182" s="11"/>
      <c r="C182" s="11"/>
      <c r="D182" s="11"/>
      <c r="E182" s="11"/>
      <c r="F182" s="11"/>
      <c r="G182" s="39"/>
      <c r="H182" s="11"/>
      <c r="I182" s="11"/>
      <c r="J182" s="11"/>
      <c r="K182" s="11"/>
      <c r="L182" s="34"/>
    </row>
    <row r="183" spans="1:12" x14ac:dyDescent="0.25">
      <c r="A183" s="12"/>
      <c r="B183" s="12"/>
      <c r="C183" s="12"/>
      <c r="D183" s="12"/>
      <c r="E183" s="12"/>
      <c r="F183" s="12"/>
      <c r="G183" s="38"/>
      <c r="H183" s="12"/>
      <c r="I183" s="12"/>
      <c r="J183" s="12"/>
      <c r="K183" s="12"/>
      <c r="L183" s="35"/>
    </row>
    <row r="184" spans="1:12" x14ac:dyDescent="0.25">
      <c r="A184" s="11"/>
      <c r="B184" s="11"/>
      <c r="C184" s="11"/>
      <c r="D184" s="11"/>
      <c r="E184" s="11"/>
      <c r="F184" s="11"/>
      <c r="G184" s="39"/>
      <c r="H184" s="11"/>
      <c r="I184" s="11"/>
      <c r="J184" s="11"/>
      <c r="K184" s="11"/>
      <c r="L184" s="34"/>
    </row>
    <row r="185" spans="1:12" x14ac:dyDescent="0.25">
      <c r="A185" s="12"/>
      <c r="B185" s="12"/>
      <c r="C185" s="12"/>
      <c r="D185" s="12"/>
      <c r="E185" s="12"/>
      <c r="F185" s="12"/>
      <c r="G185" s="38"/>
      <c r="H185" s="12"/>
      <c r="I185" s="12"/>
      <c r="J185" s="12"/>
      <c r="K185" s="12"/>
      <c r="L185" s="35"/>
    </row>
    <row r="186" spans="1:12" x14ac:dyDescent="0.25">
      <c r="A186" s="11"/>
      <c r="B186" s="11"/>
      <c r="C186" s="11"/>
      <c r="D186" s="11"/>
      <c r="E186" s="11"/>
      <c r="F186" s="11"/>
      <c r="G186" s="39"/>
      <c r="H186" s="11"/>
      <c r="I186" s="11"/>
      <c r="J186" s="11"/>
      <c r="K186" s="11"/>
      <c r="L186" s="34"/>
    </row>
    <row r="187" spans="1:12" x14ac:dyDescent="0.25">
      <c r="A187" s="12"/>
      <c r="B187" s="12"/>
      <c r="C187" s="12"/>
      <c r="D187" s="12"/>
      <c r="E187" s="12"/>
      <c r="F187" s="12"/>
      <c r="G187" s="38"/>
      <c r="H187" s="12"/>
      <c r="I187" s="12"/>
      <c r="J187" s="12"/>
      <c r="K187" s="12"/>
      <c r="L187" s="35"/>
    </row>
    <row r="188" spans="1:12" x14ac:dyDescent="0.25">
      <c r="A188" s="11"/>
      <c r="B188" s="11"/>
      <c r="C188" s="11"/>
      <c r="D188" s="11"/>
      <c r="E188" s="11"/>
      <c r="F188" s="11"/>
      <c r="G188" s="39"/>
      <c r="H188" s="11"/>
      <c r="I188" s="11"/>
      <c r="J188" s="11"/>
      <c r="K188" s="11"/>
      <c r="L188" s="34"/>
    </row>
    <row r="189" spans="1:12" x14ac:dyDescent="0.25">
      <c r="A189" s="12"/>
      <c r="B189" s="12"/>
      <c r="C189" s="12"/>
      <c r="D189" s="12"/>
      <c r="E189" s="12"/>
      <c r="F189" s="12"/>
      <c r="G189" s="38"/>
      <c r="H189" s="12"/>
      <c r="I189" s="12"/>
      <c r="J189" s="12"/>
      <c r="K189" s="12"/>
      <c r="L189" s="35"/>
    </row>
    <row r="190" spans="1:12" x14ac:dyDescent="0.25">
      <c r="A190" s="11"/>
      <c r="B190" s="11"/>
      <c r="C190" s="11"/>
      <c r="D190" s="11"/>
      <c r="E190" s="11"/>
      <c r="F190" s="11"/>
      <c r="G190" s="39"/>
      <c r="H190" s="11"/>
      <c r="I190" s="11"/>
      <c r="J190" s="11"/>
      <c r="K190" s="11"/>
      <c r="L190" s="34"/>
    </row>
    <row r="191" spans="1:12" x14ac:dyDescent="0.25">
      <c r="A191" s="12"/>
      <c r="B191" s="12"/>
      <c r="C191" s="12"/>
      <c r="D191" s="12"/>
      <c r="E191" s="12"/>
      <c r="F191" s="12"/>
      <c r="G191" s="38"/>
      <c r="H191" s="12"/>
      <c r="I191" s="12"/>
      <c r="J191" s="12"/>
      <c r="K191" s="12"/>
      <c r="L191" s="35"/>
    </row>
    <row r="192" spans="1:12" x14ac:dyDescent="0.25">
      <c r="A192" s="11"/>
      <c r="B192" s="11"/>
      <c r="C192" s="11"/>
      <c r="D192" s="11"/>
      <c r="E192" s="11"/>
      <c r="F192" s="11"/>
      <c r="G192" s="39"/>
      <c r="H192" s="11"/>
      <c r="I192" s="11"/>
      <c r="J192" s="11"/>
      <c r="K192" s="11"/>
      <c r="L192" s="34"/>
    </row>
    <row r="193" spans="1:12" x14ac:dyDescent="0.25">
      <c r="A193" s="12"/>
      <c r="B193" s="12"/>
      <c r="C193" s="12"/>
      <c r="D193" s="12"/>
      <c r="E193" s="12"/>
      <c r="F193" s="12"/>
      <c r="G193" s="38"/>
      <c r="H193" s="12"/>
      <c r="I193" s="12"/>
      <c r="J193" s="12"/>
      <c r="K193" s="12"/>
      <c r="L193" s="35"/>
    </row>
    <row r="194" spans="1:12" x14ac:dyDescent="0.25">
      <c r="A194" s="11"/>
      <c r="B194" s="11"/>
      <c r="C194" s="11"/>
      <c r="D194" s="11"/>
      <c r="E194" s="11"/>
      <c r="F194" s="11"/>
      <c r="G194" s="39"/>
      <c r="H194" s="11"/>
      <c r="I194" s="11"/>
      <c r="J194" s="11"/>
      <c r="K194" s="11"/>
      <c r="L194" s="34"/>
    </row>
    <row r="195" spans="1:12" x14ac:dyDescent="0.25">
      <c r="A195" s="12"/>
      <c r="B195" s="12"/>
      <c r="C195" s="12"/>
      <c r="D195" s="12"/>
      <c r="E195" s="12"/>
      <c r="F195" s="12"/>
      <c r="G195" s="38"/>
      <c r="H195" s="12"/>
      <c r="I195" s="12"/>
      <c r="J195" s="12"/>
      <c r="K195" s="12"/>
      <c r="L195" s="35"/>
    </row>
    <row r="196" spans="1:12" x14ac:dyDescent="0.25">
      <c r="A196" s="11"/>
      <c r="B196" s="11"/>
      <c r="C196" s="11"/>
      <c r="D196" s="11"/>
      <c r="E196" s="11"/>
      <c r="F196" s="11"/>
      <c r="G196" s="39"/>
      <c r="H196" s="11"/>
      <c r="I196" s="11"/>
      <c r="J196" s="11"/>
      <c r="K196" s="11"/>
      <c r="L196" s="34"/>
    </row>
    <row r="197" spans="1:12" x14ac:dyDescent="0.25">
      <c r="A197" s="12"/>
      <c r="B197" s="12"/>
      <c r="C197" s="12"/>
      <c r="D197" s="12"/>
      <c r="E197" s="12"/>
      <c r="F197" s="12"/>
      <c r="G197" s="38"/>
      <c r="H197" s="12"/>
      <c r="I197" s="12"/>
      <c r="J197" s="12"/>
      <c r="K197" s="12"/>
      <c r="L197" s="35"/>
    </row>
    <row r="198" spans="1:12" x14ac:dyDescent="0.25">
      <c r="A198" s="11"/>
      <c r="B198" s="11"/>
      <c r="C198" s="11"/>
      <c r="D198" s="11"/>
      <c r="E198" s="11"/>
      <c r="F198" s="11"/>
      <c r="G198" s="39"/>
      <c r="H198" s="11"/>
      <c r="I198" s="11"/>
      <c r="J198" s="11"/>
      <c r="K198" s="11"/>
      <c r="L198" s="34"/>
    </row>
    <row r="199" spans="1:12" x14ac:dyDescent="0.25">
      <c r="A199" s="12"/>
      <c r="B199" s="12"/>
      <c r="C199" s="12"/>
      <c r="D199" s="12"/>
      <c r="E199" s="12"/>
      <c r="F199" s="12"/>
      <c r="G199" s="38"/>
      <c r="H199" s="12"/>
      <c r="I199" s="12"/>
      <c r="J199" s="12"/>
      <c r="K199" s="12"/>
      <c r="L199" s="35"/>
    </row>
    <row r="200" spans="1:12" x14ac:dyDescent="0.25">
      <c r="A200" s="11"/>
      <c r="B200" s="11"/>
      <c r="C200" s="11"/>
      <c r="D200" s="11"/>
      <c r="E200" s="11"/>
      <c r="F200" s="11"/>
      <c r="G200" s="39"/>
      <c r="H200" s="11"/>
      <c r="I200" s="11"/>
      <c r="J200" s="11"/>
      <c r="K200" s="11"/>
      <c r="L200" s="34"/>
    </row>
    <row r="201" spans="1:12" x14ac:dyDescent="0.25">
      <c r="A201" s="12"/>
      <c r="B201" s="12"/>
      <c r="C201" s="12"/>
      <c r="D201" s="12"/>
      <c r="E201" s="12"/>
      <c r="F201" s="12"/>
      <c r="G201" s="38"/>
      <c r="H201" s="12"/>
      <c r="I201" s="12"/>
      <c r="J201" s="12"/>
      <c r="K201" s="12"/>
      <c r="L201" s="35"/>
    </row>
    <row r="202" spans="1:12" x14ac:dyDescent="0.25">
      <c r="A202" s="11"/>
      <c r="B202" s="11"/>
      <c r="C202" s="11"/>
      <c r="D202" s="11"/>
      <c r="E202" s="11"/>
      <c r="F202" s="11"/>
      <c r="G202" s="39"/>
      <c r="H202" s="11"/>
      <c r="I202" s="11"/>
      <c r="J202" s="11"/>
      <c r="K202" s="11"/>
      <c r="L202" s="34"/>
    </row>
    <row r="203" spans="1:12" x14ac:dyDescent="0.25">
      <c r="A203" s="12"/>
      <c r="B203" s="12"/>
      <c r="C203" s="12"/>
      <c r="D203" s="12"/>
      <c r="E203" s="12"/>
      <c r="F203" s="12"/>
      <c r="G203" s="38"/>
      <c r="H203" s="12"/>
      <c r="I203" s="12"/>
      <c r="J203" s="12"/>
      <c r="K203" s="12"/>
      <c r="L203" s="35"/>
    </row>
    <row r="204" spans="1:12" x14ac:dyDescent="0.25">
      <c r="A204" s="11"/>
      <c r="B204" s="11"/>
      <c r="C204" s="11"/>
      <c r="D204" s="11"/>
      <c r="E204" s="11"/>
      <c r="F204" s="11"/>
      <c r="G204" s="39"/>
      <c r="H204" s="11"/>
      <c r="I204" s="11"/>
      <c r="J204" s="11"/>
      <c r="K204" s="11"/>
      <c r="L204" s="34"/>
    </row>
    <row r="205" spans="1:12" x14ac:dyDescent="0.25">
      <c r="A205" s="12"/>
      <c r="B205" s="12"/>
      <c r="C205" s="12"/>
      <c r="D205" s="12"/>
      <c r="E205" s="12"/>
      <c r="F205" s="12"/>
      <c r="G205" s="38"/>
      <c r="H205" s="12"/>
      <c r="I205" s="12"/>
      <c r="J205" s="12"/>
      <c r="K205" s="12"/>
      <c r="L205" s="35"/>
    </row>
    <row r="206" spans="1:12" x14ac:dyDescent="0.25">
      <c r="A206" s="11"/>
      <c r="B206" s="11"/>
      <c r="C206" s="11"/>
      <c r="D206" s="11"/>
      <c r="E206" s="11"/>
      <c r="F206" s="11"/>
      <c r="G206" s="39"/>
      <c r="H206" s="11"/>
      <c r="I206" s="11"/>
      <c r="J206" s="11"/>
      <c r="K206" s="11"/>
      <c r="L206" s="34"/>
    </row>
    <row r="207" spans="1:12" x14ac:dyDescent="0.25">
      <c r="A207" s="12"/>
      <c r="B207" s="12"/>
      <c r="C207" s="12"/>
      <c r="D207" s="12"/>
      <c r="E207" s="12"/>
      <c r="F207" s="12"/>
      <c r="G207" s="38"/>
      <c r="H207" s="12"/>
      <c r="I207" s="12"/>
      <c r="J207" s="12"/>
      <c r="K207" s="12"/>
      <c r="L207" s="35"/>
    </row>
    <row r="208" spans="1:12" x14ac:dyDescent="0.25">
      <c r="A208" s="11"/>
      <c r="B208" s="11"/>
      <c r="C208" s="11"/>
      <c r="D208" s="11"/>
      <c r="E208" s="11"/>
      <c r="F208" s="11"/>
      <c r="G208" s="39"/>
      <c r="H208" s="11"/>
      <c r="I208" s="11"/>
      <c r="J208" s="11"/>
      <c r="K208" s="11"/>
      <c r="L208" s="34"/>
    </row>
    <row r="209" spans="1:12" x14ac:dyDescent="0.25">
      <c r="A209" s="12"/>
      <c r="B209" s="12"/>
      <c r="C209" s="12"/>
      <c r="D209" s="12"/>
      <c r="E209" s="12"/>
      <c r="F209" s="12"/>
      <c r="G209" s="38"/>
      <c r="H209" s="12"/>
      <c r="I209" s="12"/>
      <c r="J209" s="12"/>
      <c r="K209" s="12"/>
      <c r="L209" s="35"/>
    </row>
    <row r="210" spans="1:12" x14ac:dyDescent="0.25">
      <c r="A210" s="11"/>
      <c r="B210" s="11"/>
      <c r="C210" s="11"/>
      <c r="D210" s="11"/>
      <c r="E210" s="11"/>
      <c r="F210" s="11"/>
      <c r="G210" s="39"/>
      <c r="H210" s="11"/>
      <c r="I210" s="11"/>
      <c r="J210" s="11"/>
      <c r="K210" s="11"/>
      <c r="L210" s="34"/>
    </row>
    <row r="211" spans="1:12" x14ac:dyDescent="0.25">
      <c r="A211" s="12"/>
      <c r="B211" s="12"/>
      <c r="C211" s="12"/>
      <c r="D211" s="12"/>
      <c r="E211" s="12"/>
      <c r="F211" s="12"/>
      <c r="G211" s="38"/>
      <c r="H211" s="12"/>
      <c r="I211" s="12"/>
      <c r="J211" s="12"/>
      <c r="K211" s="12"/>
      <c r="L211" s="35"/>
    </row>
    <row r="212" spans="1:12" x14ac:dyDescent="0.25">
      <c r="A212" s="11"/>
      <c r="B212" s="11"/>
      <c r="C212" s="11"/>
      <c r="D212" s="11"/>
      <c r="E212" s="11"/>
      <c r="F212" s="11"/>
      <c r="G212" s="39"/>
      <c r="H212" s="11"/>
      <c r="I212" s="11"/>
      <c r="J212" s="11"/>
      <c r="K212" s="11"/>
      <c r="L212" s="34"/>
    </row>
    <row r="213" spans="1:12" x14ac:dyDescent="0.25">
      <c r="A213" s="12"/>
      <c r="B213" s="12"/>
      <c r="C213" s="12"/>
      <c r="D213" s="12"/>
      <c r="E213" s="12"/>
      <c r="F213" s="12"/>
      <c r="G213" s="38"/>
      <c r="H213" s="12"/>
      <c r="I213" s="12"/>
      <c r="J213" s="12"/>
      <c r="K213" s="12"/>
      <c r="L213" s="35"/>
    </row>
    <row r="214" spans="1:12" x14ac:dyDescent="0.25">
      <c r="A214" s="11"/>
      <c r="B214" s="11"/>
      <c r="C214" s="11"/>
      <c r="D214" s="11"/>
      <c r="E214" s="11"/>
      <c r="F214" s="11"/>
      <c r="G214" s="39"/>
      <c r="H214" s="11"/>
      <c r="I214" s="11"/>
      <c r="J214" s="11"/>
      <c r="K214" s="11"/>
      <c r="L214" s="34"/>
    </row>
    <row r="215" spans="1:12" x14ac:dyDescent="0.25">
      <c r="A215" s="12"/>
      <c r="B215" s="12"/>
      <c r="C215" s="12"/>
      <c r="D215" s="12"/>
      <c r="E215" s="12"/>
      <c r="F215" s="12"/>
      <c r="G215" s="38"/>
      <c r="H215" s="12"/>
      <c r="I215" s="12"/>
      <c r="J215" s="12"/>
      <c r="K215" s="12"/>
      <c r="L215" s="35"/>
    </row>
    <row r="216" spans="1:12" x14ac:dyDescent="0.25">
      <c r="A216" s="11"/>
      <c r="B216" s="11"/>
      <c r="C216" s="11"/>
      <c r="D216" s="11"/>
      <c r="E216" s="11"/>
      <c r="F216" s="11"/>
      <c r="G216" s="39"/>
      <c r="H216" s="11"/>
      <c r="I216" s="11"/>
      <c r="J216" s="11"/>
      <c r="K216" s="11"/>
      <c r="L216" s="34"/>
    </row>
    <row r="217" spans="1:12" x14ac:dyDescent="0.25">
      <c r="A217" s="12"/>
      <c r="B217" s="12"/>
      <c r="C217" s="12"/>
      <c r="D217" s="12"/>
      <c r="E217" s="12"/>
      <c r="F217" s="12"/>
      <c r="G217" s="38"/>
      <c r="H217" s="12"/>
      <c r="I217" s="12"/>
      <c r="J217" s="12"/>
      <c r="K217" s="12"/>
      <c r="L217" s="35"/>
    </row>
    <row r="218" spans="1:12" x14ac:dyDescent="0.25">
      <c r="A218" s="11"/>
      <c r="B218" s="11"/>
      <c r="C218" s="11"/>
      <c r="D218" s="11"/>
      <c r="E218" s="11"/>
      <c r="F218" s="11"/>
      <c r="G218" s="39"/>
      <c r="H218" s="11"/>
      <c r="I218" s="11"/>
      <c r="J218" s="11"/>
      <c r="K218" s="11"/>
      <c r="L218" s="34"/>
    </row>
    <row r="219" spans="1:12" x14ac:dyDescent="0.25">
      <c r="A219" s="12"/>
      <c r="B219" s="12"/>
      <c r="C219" s="12"/>
      <c r="D219" s="12"/>
      <c r="E219" s="12"/>
      <c r="F219" s="12"/>
      <c r="G219" s="38"/>
      <c r="H219" s="12"/>
      <c r="I219" s="12"/>
      <c r="J219" s="12"/>
      <c r="K219" s="12"/>
      <c r="L219" s="35"/>
    </row>
    <row r="220" spans="1:12" x14ac:dyDescent="0.25">
      <c r="A220" s="11"/>
      <c r="B220" s="11"/>
      <c r="C220" s="11"/>
      <c r="D220" s="11"/>
      <c r="E220" s="11"/>
      <c r="F220" s="11"/>
      <c r="G220" s="39"/>
      <c r="H220" s="11"/>
      <c r="I220" s="11"/>
      <c r="J220" s="11"/>
      <c r="K220" s="11"/>
      <c r="L220" s="34"/>
    </row>
    <row r="221" spans="1:12" x14ac:dyDescent="0.25">
      <c r="A221" s="12"/>
      <c r="B221" s="12"/>
      <c r="C221" s="12"/>
      <c r="D221" s="12"/>
      <c r="E221" s="12"/>
      <c r="F221" s="12"/>
      <c r="G221" s="38"/>
      <c r="H221" s="12"/>
      <c r="I221" s="12"/>
      <c r="J221" s="12"/>
      <c r="K221" s="12"/>
      <c r="L221" s="35"/>
    </row>
    <row r="222" spans="1:12" x14ac:dyDescent="0.25">
      <c r="A222" s="11"/>
      <c r="B222" s="11"/>
      <c r="C222" s="11"/>
      <c r="D222" s="11"/>
      <c r="E222" s="11"/>
      <c r="F222" s="11"/>
      <c r="G222" s="39"/>
      <c r="H222" s="11"/>
      <c r="I222" s="11"/>
      <c r="J222" s="11"/>
      <c r="K222" s="11"/>
      <c r="L222" s="34"/>
    </row>
    <row r="223" spans="1:12" x14ac:dyDescent="0.25">
      <c r="A223" s="12"/>
      <c r="B223" s="12"/>
      <c r="C223" s="12"/>
      <c r="D223" s="12"/>
      <c r="E223" s="12"/>
      <c r="F223" s="12"/>
      <c r="G223" s="38"/>
      <c r="H223" s="12"/>
      <c r="I223" s="12"/>
      <c r="J223" s="12"/>
      <c r="K223" s="12"/>
      <c r="L223" s="35"/>
    </row>
    <row r="224" spans="1:12" x14ac:dyDescent="0.25">
      <c r="A224" s="11"/>
      <c r="B224" s="11"/>
      <c r="C224" s="11"/>
      <c r="D224" s="11"/>
      <c r="E224" s="11"/>
      <c r="F224" s="11"/>
      <c r="G224" s="39"/>
      <c r="H224" s="11"/>
      <c r="I224" s="11"/>
      <c r="J224" s="11"/>
      <c r="K224" s="11"/>
      <c r="L224" s="34"/>
    </row>
    <row r="225" spans="1:12" x14ac:dyDescent="0.25">
      <c r="A225" s="12"/>
      <c r="B225" s="12"/>
      <c r="C225" s="12"/>
      <c r="D225" s="12"/>
      <c r="E225" s="12"/>
      <c r="F225" s="12"/>
      <c r="G225" s="38"/>
      <c r="H225" s="12"/>
      <c r="I225" s="12"/>
      <c r="J225" s="12"/>
      <c r="K225" s="12"/>
      <c r="L225" s="35"/>
    </row>
    <row r="226" spans="1:12" x14ac:dyDescent="0.25">
      <c r="A226" s="11"/>
      <c r="B226" s="11"/>
      <c r="C226" s="11"/>
      <c r="D226" s="11"/>
      <c r="E226" s="11"/>
      <c r="F226" s="11"/>
      <c r="G226" s="39"/>
      <c r="H226" s="11"/>
      <c r="I226" s="11"/>
      <c r="J226" s="11"/>
      <c r="K226" s="11"/>
      <c r="L226" s="34"/>
    </row>
    <row r="227" spans="1:12" x14ac:dyDescent="0.25">
      <c r="A227" s="12"/>
      <c r="B227" s="12"/>
      <c r="C227" s="12"/>
      <c r="D227" s="12"/>
      <c r="E227" s="12"/>
      <c r="F227" s="12"/>
      <c r="G227" s="38"/>
      <c r="H227" s="12"/>
      <c r="I227" s="12"/>
      <c r="J227" s="12"/>
      <c r="K227" s="12"/>
      <c r="L227" s="35"/>
    </row>
    <row r="228" spans="1:12" x14ac:dyDescent="0.25">
      <c r="A228" s="11"/>
      <c r="B228" s="11"/>
      <c r="C228" s="11"/>
      <c r="D228" s="11"/>
      <c r="E228" s="11"/>
      <c r="F228" s="11"/>
      <c r="G228" s="39"/>
      <c r="H228" s="11"/>
      <c r="I228" s="11"/>
      <c r="J228" s="11"/>
      <c r="K228" s="11"/>
      <c r="L228" s="34"/>
    </row>
    <row r="229" spans="1:12" x14ac:dyDescent="0.25">
      <c r="A229" s="12"/>
      <c r="B229" s="12"/>
      <c r="C229" s="12"/>
      <c r="D229" s="12"/>
      <c r="E229" s="12"/>
      <c r="F229" s="12"/>
      <c r="G229" s="38"/>
      <c r="H229" s="12"/>
      <c r="I229" s="12"/>
      <c r="J229" s="12"/>
      <c r="K229" s="12"/>
      <c r="L229" s="35"/>
    </row>
    <row r="230" spans="1:12" x14ac:dyDescent="0.25">
      <c r="A230" s="11"/>
      <c r="B230" s="11"/>
      <c r="C230" s="11"/>
      <c r="D230" s="11"/>
      <c r="E230" s="11"/>
      <c r="F230" s="11"/>
      <c r="G230" s="39"/>
      <c r="H230" s="11"/>
      <c r="I230" s="11"/>
      <c r="J230" s="11"/>
      <c r="K230" s="11"/>
      <c r="L230" s="34"/>
    </row>
    <row r="231" spans="1:12" x14ac:dyDescent="0.25">
      <c r="A231" s="12"/>
      <c r="B231" s="12"/>
      <c r="C231" s="12"/>
      <c r="D231" s="12"/>
      <c r="E231" s="12"/>
      <c r="F231" s="12"/>
      <c r="G231" s="38"/>
      <c r="H231" s="12"/>
      <c r="I231" s="12"/>
      <c r="J231" s="12"/>
      <c r="K231" s="12"/>
      <c r="L231" s="35"/>
    </row>
    <row r="232" spans="1:12" x14ac:dyDescent="0.25">
      <c r="A232" s="11"/>
      <c r="B232" s="11"/>
      <c r="C232" s="11"/>
      <c r="D232" s="11"/>
      <c r="E232" s="11"/>
      <c r="F232" s="11"/>
      <c r="G232" s="39"/>
      <c r="H232" s="11"/>
      <c r="I232" s="11"/>
      <c r="J232" s="11"/>
      <c r="K232" s="11"/>
      <c r="L232" s="34"/>
    </row>
    <row r="233" spans="1:12" x14ac:dyDescent="0.25">
      <c r="A233" s="12"/>
      <c r="B233" s="12"/>
      <c r="C233" s="12"/>
      <c r="D233" s="12"/>
      <c r="E233" s="12"/>
      <c r="F233" s="12"/>
      <c r="G233" s="38"/>
      <c r="H233" s="12"/>
      <c r="I233" s="12"/>
      <c r="J233" s="12"/>
      <c r="K233" s="12"/>
      <c r="L233" s="35"/>
    </row>
    <row r="234" spans="1:12" x14ac:dyDescent="0.25">
      <c r="A234" s="11"/>
      <c r="B234" s="11"/>
      <c r="C234" s="11"/>
      <c r="D234" s="11"/>
      <c r="E234" s="11"/>
      <c r="F234" s="11"/>
      <c r="G234" s="39"/>
      <c r="H234" s="11"/>
      <c r="I234" s="11"/>
      <c r="J234" s="11"/>
      <c r="K234" s="11"/>
      <c r="L234" s="34"/>
    </row>
    <row r="235" spans="1:12" x14ac:dyDescent="0.25">
      <c r="A235" s="12"/>
      <c r="B235" s="12"/>
      <c r="C235" s="12"/>
      <c r="D235" s="12"/>
      <c r="E235" s="12"/>
      <c r="F235" s="12"/>
      <c r="G235" s="38"/>
      <c r="H235" s="12"/>
      <c r="I235" s="12"/>
      <c r="J235" s="12"/>
      <c r="K235" s="12"/>
      <c r="L235" s="35"/>
    </row>
    <row r="236" spans="1:12" x14ac:dyDescent="0.25">
      <c r="A236" s="11"/>
      <c r="B236" s="11"/>
      <c r="C236" s="11"/>
      <c r="D236" s="11"/>
      <c r="E236" s="11"/>
      <c r="F236" s="11"/>
      <c r="G236" s="39"/>
      <c r="H236" s="11"/>
      <c r="I236" s="11"/>
      <c r="J236" s="11"/>
      <c r="K236" s="11"/>
      <c r="L236" s="34"/>
    </row>
    <row r="237" spans="1:12" x14ac:dyDescent="0.25">
      <c r="A237" s="12"/>
      <c r="B237" s="12"/>
      <c r="C237" s="12"/>
      <c r="D237" s="12"/>
      <c r="E237" s="12"/>
      <c r="F237" s="12"/>
      <c r="G237" s="38"/>
      <c r="H237" s="12"/>
      <c r="I237" s="12"/>
      <c r="J237" s="12"/>
      <c r="K237" s="12"/>
      <c r="L237" s="35"/>
    </row>
    <row r="238" spans="1:12" x14ac:dyDescent="0.25">
      <c r="A238" s="11"/>
      <c r="B238" s="11"/>
      <c r="C238" s="11"/>
      <c r="D238" s="11"/>
      <c r="E238" s="11"/>
      <c r="F238" s="11"/>
      <c r="G238" s="39"/>
      <c r="H238" s="11"/>
      <c r="I238" s="11"/>
      <c r="J238" s="11"/>
      <c r="K238" s="11"/>
      <c r="L238" s="34"/>
    </row>
    <row r="239" spans="1:12" x14ac:dyDescent="0.25">
      <c r="A239" s="12"/>
      <c r="B239" s="12"/>
      <c r="C239" s="12"/>
      <c r="D239" s="12"/>
      <c r="E239" s="12"/>
      <c r="F239" s="12"/>
      <c r="G239" s="38"/>
      <c r="H239" s="12"/>
      <c r="I239" s="12"/>
      <c r="J239" s="12"/>
      <c r="K239" s="12"/>
      <c r="L239" s="35"/>
    </row>
    <row r="240" spans="1:12" x14ac:dyDescent="0.25">
      <c r="A240" s="11"/>
      <c r="B240" s="11"/>
      <c r="C240" s="11"/>
      <c r="D240" s="11"/>
      <c r="E240" s="11"/>
      <c r="F240" s="11"/>
      <c r="G240" s="39"/>
      <c r="H240" s="11"/>
      <c r="I240" s="11"/>
      <c r="J240" s="11"/>
      <c r="K240" s="11"/>
      <c r="L240" s="34"/>
    </row>
    <row r="241" spans="1:12" x14ac:dyDescent="0.25">
      <c r="A241" s="12"/>
      <c r="B241" s="12"/>
      <c r="C241" s="12"/>
      <c r="D241" s="12"/>
      <c r="E241" s="12"/>
      <c r="F241" s="12"/>
      <c r="G241" s="38"/>
      <c r="H241" s="12"/>
      <c r="I241" s="12"/>
      <c r="J241" s="12"/>
      <c r="K241" s="12"/>
      <c r="L241" s="35"/>
    </row>
    <row r="242" spans="1:12" x14ac:dyDescent="0.25">
      <c r="A242" s="11"/>
      <c r="B242" s="11"/>
      <c r="C242" s="11"/>
      <c r="D242" s="11"/>
      <c r="E242" s="11"/>
      <c r="F242" s="11"/>
      <c r="G242" s="39"/>
      <c r="H242" s="11"/>
      <c r="I242" s="11"/>
      <c r="J242" s="11"/>
      <c r="K242" s="11"/>
      <c r="L242" s="34"/>
    </row>
    <row r="243" spans="1:12" x14ac:dyDescent="0.25">
      <c r="A243" s="12"/>
      <c r="B243" s="12"/>
      <c r="C243" s="12"/>
      <c r="D243" s="12"/>
      <c r="E243" s="12"/>
      <c r="F243" s="12"/>
      <c r="G243" s="38"/>
      <c r="H243" s="12"/>
      <c r="I243" s="12"/>
      <c r="J243" s="12"/>
      <c r="K243" s="12"/>
      <c r="L243" s="35"/>
    </row>
    <row r="244" spans="1:12" x14ac:dyDescent="0.25">
      <c r="A244" s="11"/>
      <c r="B244" s="11"/>
      <c r="C244" s="11"/>
      <c r="D244" s="11"/>
      <c r="E244" s="11"/>
      <c r="F244" s="11"/>
      <c r="G244" s="39"/>
      <c r="H244" s="11"/>
      <c r="I244" s="11"/>
      <c r="J244" s="11"/>
      <c r="K244" s="11"/>
      <c r="L244" s="34"/>
    </row>
    <row r="245" spans="1:12" x14ac:dyDescent="0.25">
      <c r="A245" s="12"/>
      <c r="B245" s="12"/>
      <c r="C245" s="12"/>
      <c r="D245" s="12"/>
      <c r="E245" s="12"/>
      <c r="F245" s="12"/>
      <c r="G245" s="38"/>
      <c r="H245" s="12"/>
      <c r="I245" s="12"/>
      <c r="J245" s="12"/>
      <c r="K245" s="12"/>
      <c r="L245" s="35"/>
    </row>
    <row r="246" spans="1:12" x14ac:dyDescent="0.25">
      <c r="A246" s="11"/>
      <c r="B246" s="11"/>
      <c r="C246" s="11"/>
      <c r="D246" s="11"/>
      <c r="E246" s="11"/>
      <c r="F246" s="11"/>
      <c r="G246" s="39"/>
      <c r="H246" s="11"/>
      <c r="I246" s="11"/>
      <c r="J246" s="11"/>
      <c r="K246" s="11"/>
      <c r="L246" s="34"/>
    </row>
    <row r="247" spans="1:12" x14ac:dyDescent="0.25">
      <c r="A247" s="12"/>
      <c r="B247" s="12"/>
      <c r="C247" s="12"/>
      <c r="D247" s="12"/>
      <c r="E247" s="12"/>
      <c r="F247" s="12"/>
      <c r="G247" s="38"/>
      <c r="H247" s="12"/>
      <c r="I247" s="12"/>
      <c r="J247" s="12"/>
      <c r="K247" s="12"/>
      <c r="L247" s="35"/>
    </row>
    <row r="248" spans="1:12" x14ac:dyDescent="0.25">
      <c r="A248" s="11"/>
      <c r="B248" s="11"/>
      <c r="C248" s="11"/>
      <c r="D248" s="11"/>
      <c r="E248" s="11"/>
      <c r="F248" s="11"/>
      <c r="G248" s="39"/>
      <c r="H248" s="11"/>
      <c r="I248" s="11"/>
      <c r="J248" s="11"/>
      <c r="K248" s="11"/>
      <c r="L248" s="34"/>
    </row>
    <row r="249" spans="1:12" x14ac:dyDescent="0.25">
      <c r="A249" s="12"/>
      <c r="B249" s="12"/>
      <c r="C249" s="12"/>
      <c r="D249" s="12"/>
      <c r="E249" s="12"/>
      <c r="F249" s="12"/>
      <c r="G249" s="38"/>
      <c r="H249" s="12"/>
      <c r="I249" s="12"/>
      <c r="J249" s="12"/>
      <c r="K249" s="12"/>
      <c r="L249" s="35"/>
    </row>
    <row r="250" spans="1:12" x14ac:dyDescent="0.25">
      <c r="A250" s="11"/>
      <c r="B250" s="11"/>
      <c r="C250" s="11"/>
      <c r="D250" s="11"/>
      <c r="E250" s="11"/>
      <c r="F250" s="11"/>
      <c r="G250" s="39"/>
      <c r="H250" s="11"/>
      <c r="I250" s="11"/>
      <c r="J250" s="11"/>
      <c r="K250" s="11"/>
      <c r="L250" s="34"/>
    </row>
    <row r="251" spans="1:12" x14ac:dyDescent="0.25">
      <c r="A251" s="12"/>
      <c r="B251" s="12"/>
      <c r="C251" s="12"/>
      <c r="D251" s="12"/>
      <c r="E251" s="12"/>
      <c r="F251" s="12"/>
      <c r="G251" s="38"/>
      <c r="H251" s="12"/>
      <c r="I251" s="12"/>
      <c r="J251" s="12"/>
      <c r="K251" s="12"/>
      <c r="L251" s="35"/>
    </row>
    <row r="252" spans="1:12" x14ac:dyDescent="0.25">
      <c r="A252" s="11"/>
      <c r="B252" s="11"/>
      <c r="C252" s="11"/>
      <c r="D252" s="11"/>
      <c r="E252" s="11"/>
      <c r="F252" s="11"/>
      <c r="G252" s="39"/>
      <c r="H252" s="11"/>
      <c r="I252" s="11"/>
      <c r="J252" s="11"/>
      <c r="K252" s="11"/>
      <c r="L252" s="34"/>
    </row>
    <row r="253" spans="1:12" x14ac:dyDescent="0.25">
      <c r="A253" s="12"/>
      <c r="B253" s="12"/>
      <c r="C253" s="12"/>
      <c r="D253" s="12"/>
      <c r="E253" s="12"/>
      <c r="F253" s="12"/>
      <c r="G253" s="38"/>
      <c r="H253" s="12"/>
      <c r="I253" s="12"/>
      <c r="J253" s="12"/>
      <c r="K253" s="12"/>
      <c r="L253" s="35"/>
    </row>
    <row r="254" spans="1:12" x14ac:dyDescent="0.25">
      <c r="A254" s="11"/>
      <c r="B254" s="11"/>
      <c r="C254" s="11"/>
      <c r="D254" s="11"/>
      <c r="E254" s="11"/>
      <c r="F254" s="11"/>
      <c r="G254" s="39"/>
      <c r="H254" s="11"/>
      <c r="I254" s="11"/>
      <c r="J254" s="11"/>
      <c r="K254" s="11"/>
      <c r="L254" s="34"/>
    </row>
    <row r="255" spans="1:12" x14ac:dyDescent="0.25">
      <c r="A255" s="12"/>
      <c r="B255" s="12"/>
      <c r="C255" s="12"/>
      <c r="D255" s="12"/>
      <c r="E255" s="12"/>
      <c r="F255" s="12"/>
      <c r="G255" s="38"/>
      <c r="H255" s="12"/>
      <c r="I255" s="12"/>
      <c r="J255" s="12"/>
      <c r="K255" s="12"/>
      <c r="L255" s="35"/>
    </row>
    <row r="256" spans="1:12" x14ac:dyDescent="0.25">
      <c r="A256" s="11"/>
      <c r="B256" s="11"/>
      <c r="C256" s="11"/>
      <c r="D256" s="11"/>
      <c r="E256" s="11"/>
      <c r="F256" s="11"/>
      <c r="G256" s="39"/>
      <c r="H256" s="11"/>
      <c r="I256" s="11"/>
      <c r="J256" s="11"/>
      <c r="K256" s="11"/>
      <c r="L256" s="34"/>
    </row>
    <row r="257" spans="1:12" x14ac:dyDescent="0.25">
      <c r="A257" s="12"/>
      <c r="B257" s="12"/>
      <c r="C257" s="12"/>
      <c r="D257" s="12"/>
      <c r="E257" s="12"/>
      <c r="F257" s="12"/>
      <c r="G257" s="38"/>
      <c r="H257" s="12"/>
      <c r="I257" s="12"/>
      <c r="J257" s="12"/>
      <c r="K257" s="12"/>
      <c r="L257" s="35"/>
    </row>
    <row r="258" spans="1:12" x14ac:dyDescent="0.25">
      <c r="A258" s="11"/>
      <c r="B258" s="11"/>
      <c r="C258" s="11"/>
      <c r="D258" s="11"/>
      <c r="E258" s="11"/>
      <c r="F258" s="11"/>
      <c r="G258" s="39"/>
      <c r="H258" s="11"/>
      <c r="I258" s="11"/>
      <c r="J258" s="11"/>
      <c r="K258" s="11"/>
      <c r="L258" s="34"/>
    </row>
    <row r="259" spans="1:12" x14ac:dyDescent="0.25">
      <c r="A259" s="12"/>
      <c r="B259" s="12"/>
      <c r="C259" s="12"/>
      <c r="D259" s="12"/>
      <c r="E259" s="12"/>
      <c r="F259" s="12"/>
      <c r="G259" s="38"/>
      <c r="H259" s="12"/>
      <c r="I259" s="12"/>
      <c r="J259" s="12"/>
      <c r="K259" s="12"/>
      <c r="L259" s="35"/>
    </row>
    <row r="260" spans="1:12" x14ac:dyDescent="0.25">
      <c r="A260" s="11"/>
      <c r="B260" s="11"/>
      <c r="C260" s="11"/>
      <c r="D260" s="11"/>
      <c r="E260" s="11"/>
      <c r="F260" s="11"/>
      <c r="G260" s="39"/>
      <c r="H260" s="11"/>
      <c r="I260" s="11"/>
      <c r="J260" s="11"/>
      <c r="K260" s="11"/>
      <c r="L260" s="34"/>
    </row>
    <row r="261" spans="1:12" x14ac:dyDescent="0.25">
      <c r="A261" s="12"/>
      <c r="B261" s="12"/>
      <c r="C261" s="12"/>
      <c r="D261" s="12"/>
      <c r="E261" s="12"/>
      <c r="F261" s="12"/>
      <c r="G261" s="38"/>
      <c r="H261" s="12"/>
      <c r="I261" s="12"/>
      <c r="J261" s="12"/>
      <c r="K261" s="12"/>
      <c r="L261" s="35"/>
    </row>
    <row r="262" spans="1:12" x14ac:dyDescent="0.25">
      <c r="A262" s="11"/>
      <c r="B262" s="11"/>
      <c r="C262" s="11"/>
      <c r="D262" s="11"/>
      <c r="E262" s="11"/>
      <c r="F262" s="11"/>
      <c r="G262" s="39"/>
      <c r="H262" s="11"/>
      <c r="I262" s="11"/>
      <c r="J262" s="11"/>
      <c r="K262" s="11"/>
      <c r="L262" s="34"/>
    </row>
    <row r="263" spans="1:12" x14ac:dyDescent="0.25">
      <c r="A263" s="12"/>
      <c r="B263" s="12"/>
      <c r="C263" s="12"/>
      <c r="D263" s="12"/>
      <c r="E263" s="12"/>
      <c r="F263" s="12"/>
      <c r="G263" s="38"/>
      <c r="H263" s="12"/>
      <c r="I263" s="12"/>
      <c r="J263" s="12"/>
      <c r="K263" s="12"/>
      <c r="L263" s="35"/>
    </row>
    <row r="264" spans="1:12" x14ac:dyDescent="0.25">
      <c r="A264" s="11"/>
      <c r="B264" s="11"/>
      <c r="C264" s="11"/>
      <c r="D264" s="11"/>
      <c r="E264" s="11"/>
      <c r="F264" s="11"/>
      <c r="G264" s="39"/>
      <c r="H264" s="11"/>
      <c r="I264" s="11"/>
      <c r="J264" s="11"/>
      <c r="K264" s="11"/>
      <c r="L264" s="34"/>
    </row>
    <row r="265" spans="1:12" x14ac:dyDescent="0.25">
      <c r="A265" s="12"/>
      <c r="B265" s="12"/>
      <c r="C265" s="12"/>
      <c r="D265" s="12"/>
      <c r="E265" s="12"/>
      <c r="F265" s="12"/>
      <c r="G265" s="38"/>
      <c r="H265" s="12"/>
      <c r="I265" s="12"/>
      <c r="J265" s="12"/>
      <c r="K265" s="12"/>
      <c r="L265" s="35"/>
    </row>
    <row r="266" spans="1:12" x14ac:dyDescent="0.25">
      <c r="A266" s="11"/>
      <c r="B266" s="11"/>
      <c r="C266" s="11"/>
      <c r="D266" s="11"/>
      <c r="E266" s="11"/>
      <c r="F266" s="11"/>
      <c r="G266" s="39"/>
      <c r="H266" s="11"/>
      <c r="I266" s="11"/>
      <c r="J266" s="11"/>
      <c r="K266" s="11"/>
      <c r="L266" s="34"/>
    </row>
    <row r="267" spans="1:12" x14ac:dyDescent="0.25">
      <c r="A267" s="12"/>
      <c r="B267" s="12"/>
      <c r="C267" s="12"/>
      <c r="D267" s="12"/>
      <c r="E267" s="12"/>
      <c r="F267" s="12"/>
      <c r="G267" s="38"/>
      <c r="H267" s="12"/>
      <c r="I267" s="12"/>
      <c r="J267" s="12"/>
      <c r="K267" s="12"/>
      <c r="L267" s="35"/>
    </row>
    <row r="268" spans="1:12" x14ac:dyDescent="0.25">
      <c r="A268" s="11"/>
      <c r="B268" s="11"/>
      <c r="C268" s="11"/>
      <c r="D268" s="11"/>
      <c r="E268" s="11"/>
      <c r="F268" s="11"/>
      <c r="G268" s="39"/>
      <c r="H268" s="11"/>
      <c r="I268" s="11"/>
      <c r="J268" s="11"/>
      <c r="K268" s="11"/>
      <c r="L268" s="34"/>
    </row>
    <row r="269" spans="1:12" x14ac:dyDescent="0.25">
      <c r="A269" s="12"/>
      <c r="B269" s="12"/>
      <c r="C269" s="12"/>
      <c r="D269" s="12"/>
      <c r="E269" s="12"/>
      <c r="F269" s="12"/>
      <c r="G269" s="38"/>
      <c r="H269" s="12"/>
      <c r="I269" s="12"/>
      <c r="J269" s="12"/>
      <c r="K269" s="12"/>
      <c r="L269" s="35"/>
    </row>
    <row r="270" spans="1:12" x14ac:dyDescent="0.25">
      <c r="A270" s="11"/>
      <c r="B270" s="11"/>
      <c r="C270" s="11"/>
      <c r="D270" s="11"/>
      <c r="E270" s="11"/>
      <c r="F270" s="11"/>
      <c r="G270" s="39"/>
      <c r="H270" s="11"/>
      <c r="I270" s="11"/>
      <c r="J270" s="11"/>
      <c r="K270" s="11"/>
      <c r="L270" s="34"/>
    </row>
    <row r="271" spans="1:12" x14ac:dyDescent="0.25">
      <c r="A271" s="12"/>
      <c r="B271" s="12"/>
      <c r="C271" s="12"/>
      <c r="D271" s="12"/>
      <c r="E271" s="12"/>
      <c r="F271" s="12"/>
      <c r="G271" s="38"/>
      <c r="H271" s="12"/>
      <c r="I271" s="12"/>
      <c r="J271" s="12"/>
      <c r="K271" s="12"/>
      <c r="L271" s="35"/>
    </row>
    <row r="272" spans="1:12" x14ac:dyDescent="0.25">
      <c r="A272" s="11"/>
      <c r="B272" s="11"/>
      <c r="C272" s="11"/>
      <c r="D272" s="11"/>
      <c r="E272" s="11"/>
      <c r="F272" s="11"/>
      <c r="G272" s="39"/>
      <c r="H272" s="11"/>
      <c r="I272" s="11"/>
      <c r="J272" s="11"/>
      <c r="K272" s="11"/>
      <c r="L272" s="34"/>
    </row>
    <row r="273" spans="1:12" x14ac:dyDescent="0.25">
      <c r="A273" s="12"/>
      <c r="B273" s="12"/>
      <c r="C273" s="12"/>
      <c r="D273" s="12"/>
      <c r="E273" s="12"/>
      <c r="F273" s="12"/>
      <c r="G273" s="38"/>
      <c r="H273" s="12"/>
      <c r="I273" s="12"/>
      <c r="J273" s="12"/>
      <c r="K273" s="12"/>
      <c r="L273" s="35"/>
    </row>
    <row r="274" spans="1:12" x14ac:dyDescent="0.25">
      <c r="A274" s="11"/>
      <c r="B274" s="11"/>
      <c r="C274" s="11"/>
      <c r="D274" s="11"/>
      <c r="E274" s="11"/>
      <c r="F274" s="11"/>
      <c r="G274" s="39"/>
      <c r="H274" s="11"/>
      <c r="I274" s="11"/>
      <c r="J274" s="11"/>
      <c r="K274" s="11"/>
      <c r="L274" s="34"/>
    </row>
    <row r="275" spans="1:12" x14ac:dyDescent="0.25">
      <c r="A275" s="12"/>
      <c r="B275" s="12"/>
      <c r="C275" s="12"/>
      <c r="D275" s="12"/>
      <c r="E275" s="12"/>
      <c r="F275" s="12"/>
      <c r="G275" s="38"/>
      <c r="H275" s="12"/>
      <c r="I275" s="12"/>
      <c r="J275" s="12"/>
      <c r="K275" s="12"/>
      <c r="L275" s="35"/>
    </row>
    <row r="276" spans="1:12" x14ac:dyDescent="0.25">
      <c r="A276" s="11"/>
      <c r="B276" s="11"/>
      <c r="C276" s="11"/>
      <c r="D276" s="11"/>
      <c r="E276" s="11"/>
      <c r="F276" s="11"/>
      <c r="G276" s="39"/>
      <c r="H276" s="11"/>
      <c r="I276" s="11"/>
      <c r="J276" s="11"/>
      <c r="K276" s="11"/>
      <c r="L276" s="34"/>
    </row>
    <row r="277" spans="1:12" x14ac:dyDescent="0.25">
      <c r="A277" s="12"/>
      <c r="B277" s="12"/>
      <c r="C277" s="12"/>
      <c r="D277" s="12"/>
      <c r="E277" s="12"/>
      <c r="F277" s="12"/>
      <c r="G277" s="38"/>
      <c r="H277" s="12"/>
      <c r="I277" s="12"/>
      <c r="J277" s="12"/>
      <c r="K277" s="12"/>
      <c r="L277" s="35"/>
    </row>
    <row r="278" spans="1:12" x14ac:dyDescent="0.25">
      <c r="A278" s="11"/>
      <c r="B278" s="11"/>
      <c r="C278" s="11"/>
      <c r="D278" s="11"/>
      <c r="E278" s="11"/>
      <c r="F278" s="11"/>
      <c r="G278" s="39"/>
      <c r="H278" s="11"/>
      <c r="I278" s="11"/>
      <c r="J278" s="11"/>
      <c r="K278" s="11"/>
      <c r="L278" s="34"/>
    </row>
    <row r="279" spans="1:12" x14ac:dyDescent="0.25">
      <c r="A279" s="12"/>
      <c r="B279" s="12"/>
      <c r="C279" s="12"/>
      <c r="D279" s="12"/>
      <c r="E279" s="12"/>
      <c r="F279" s="12"/>
      <c r="G279" s="38"/>
      <c r="H279" s="12"/>
      <c r="I279" s="12"/>
      <c r="J279" s="12"/>
      <c r="K279" s="12"/>
      <c r="L279" s="35"/>
    </row>
    <row r="280" spans="1:12" x14ac:dyDescent="0.25">
      <c r="A280" s="11"/>
      <c r="B280" s="11"/>
      <c r="C280" s="11"/>
      <c r="D280" s="11"/>
      <c r="E280" s="11"/>
      <c r="F280" s="11"/>
      <c r="G280" s="39"/>
      <c r="H280" s="11"/>
      <c r="I280" s="11"/>
      <c r="J280" s="11"/>
      <c r="K280" s="11"/>
      <c r="L280" s="34"/>
    </row>
    <row r="281" spans="1:12" x14ac:dyDescent="0.25">
      <c r="A281" s="12"/>
      <c r="B281" s="12"/>
      <c r="C281" s="12"/>
      <c r="D281" s="12"/>
      <c r="E281" s="12"/>
      <c r="F281" s="12"/>
      <c r="G281" s="38"/>
      <c r="H281" s="12"/>
      <c r="I281" s="12"/>
      <c r="J281" s="12"/>
      <c r="K281" s="12"/>
      <c r="L281" s="35"/>
    </row>
    <row r="282" spans="1:12" x14ac:dyDescent="0.25">
      <c r="A282" s="11"/>
      <c r="B282" s="11"/>
      <c r="C282" s="11"/>
      <c r="D282" s="11"/>
      <c r="E282" s="11"/>
      <c r="F282" s="11"/>
      <c r="G282" s="39"/>
      <c r="H282" s="11"/>
      <c r="I282" s="11"/>
      <c r="J282" s="11"/>
      <c r="K282" s="11"/>
      <c r="L282" s="34"/>
    </row>
    <row r="283" spans="1:12" x14ac:dyDescent="0.25">
      <c r="A283" s="12"/>
      <c r="B283" s="12"/>
      <c r="C283" s="12"/>
      <c r="D283" s="12"/>
      <c r="E283" s="12"/>
      <c r="F283" s="12"/>
      <c r="G283" s="38"/>
      <c r="H283" s="12"/>
      <c r="I283" s="12"/>
      <c r="J283" s="12"/>
      <c r="K283" s="12"/>
      <c r="L283" s="35"/>
    </row>
    <row r="284" spans="1:12" x14ac:dyDescent="0.25">
      <c r="A284" s="11"/>
      <c r="B284" s="11"/>
      <c r="C284" s="11"/>
      <c r="D284" s="11"/>
      <c r="E284" s="11"/>
      <c r="F284" s="11"/>
      <c r="G284" s="39"/>
      <c r="H284" s="11"/>
      <c r="I284" s="11"/>
      <c r="J284" s="11"/>
      <c r="K284" s="11"/>
      <c r="L284" s="34"/>
    </row>
    <row r="285" spans="1:12" x14ac:dyDescent="0.25">
      <c r="A285" s="12"/>
      <c r="B285" s="12"/>
      <c r="C285" s="12"/>
      <c r="D285" s="12"/>
      <c r="E285" s="12"/>
      <c r="F285" s="12"/>
      <c r="G285" s="38"/>
      <c r="H285" s="12"/>
      <c r="I285" s="12"/>
      <c r="J285" s="12"/>
      <c r="K285" s="12"/>
      <c r="L285" s="35"/>
    </row>
    <row r="286" spans="1:12" x14ac:dyDescent="0.25">
      <c r="A286" s="11"/>
      <c r="B286" s="11"/>
      <c r="C286" s="11"/>
      <c r="D286" s="11"/>
      <c r="E286" s="11"/>
      <c r="F286" s="11"/>
      <c r="G286" s="39"/>
      <c r="H286" s="11"/>
      <c r="I286" s="11"/>
      <c r="J286" s="11"/>
      <c r="K286" s="11"/>
      <c r="L286" s="34"/>
    </row>
    <row r="287" spans="1:12" x14ac:dyDescent="0.25">
      <c r="A287" s="12"/>
      <c r="B287" s="12"/>
      <c r="C287" s="12"/>
      <c r="D287" s="12"/>
      <c r="E287" s="12"/>
      <c r="F287" s="12"/>
      <c r="G287" s="38"/>
      <c r="H287" s="12"/>
      <c r="I287" s="12"/>
      <c r="J287" s="12"/>
      <c r="K287" s="12"/>
      <c r="L287" s="35"/>
    </row>
    <row r="288" spans="1:12" x14ac:dyDescent="0.25">
      <c r="A288" s="11"/>
      <c r="B288" s="11"/>
      <c r="C288" s="11"/>
      <c r="D288" s="11"/>
      <c r="E288" s="11"/>
      <c r="F288" s="11"/>
      <c r="G288" s="39"/>
      <c r="H288" s="11"/>
      <c r="I288" s="11"/>
      <c r="J288" s="11"/>
      <c r="K288" s="11"/>
      <c r="L288" s="34"/>
    </row>
    <row r="289" spans="1:12" x14ac:dyDescent="0.25">
      <c r="A289" s="12"/>
      <c r="B289" s="12"/>
      <c r="C289" s="12"/>
      <c r="D289" s="12"/>
      <c r="E289" s="12"/>
      <c r="F289" s="12"/>
      <c r="G289" s="38"/>
      <c r="H289" s="12"/>
      <c r="I289" s="12"/>
      <c r="J289" s="12"/>
      <c r="K289" s="12"/>
      <c r="L289" s="35"/>
    </row>
    <row r="290" spans="1:12" x14ac:dyDescent="0.25">
      <c r="A290" s="11"/>
      <c r="B290" s="11"/>
      <c r="C290" s="11"/>
      <c r="D290" s="11"/>
      <c r="E290" s="11"/>
      <c r="F290" s="11"/>
      <c r="G290" s="39"/>
      <c r="H290" s="11"/>
      <c r="I290" s="11"/>
      <c r="J290" s="11"/>
      <c r="K290" s="11"/>
      <c r="L290" s="34"/>
    </row>
    <row r="291" spans="1:12" x14ac:dyDescent="0.25">
      <c r="A291" s="12"/>
      <c r="B291" s="12"/>
      <c r="C291" s="12"/>
      <c r="D291" s="12"/>
      <c r="E291" s="12"/>
      <c r="F291" s="12"/>
      <c r="G291" s="38"/>
      <c r="H291" s="12"/>
      <c r="I291" s="12"/>
      <c r="J291" s="12"/>
      <c r="K291" s="12"/>
      <c r="L291" s="35"/>
    </row>
    <row r="292" spans="1:12" x14ac:dyDescent="0.25">
      <c r="A292" s="11"/>
      <c r="B292" s="11"/>
      <c r="C292" s="11"/>
      <c r="D292" s="11"/>
      <c r="E292" s="11"/>
      <c r="F292" s="11"/>
      <c r="G292" s="39"/>
      <c r="H292" s="11"/>
      <c r="I292" s="11"/>
      <c r="J292" s="11"/>
      <c r="K292" s="11"/>
      <c r="L292" s="34"/>
    </row>
    <row r="293" spans="1:12" x14ac:dyDescent="0.25">
      <c r="A293" s="12"/>
      <c r="B293" s="12"/>
      <c r="C293" s="12"/>
      <c r="D293" s="12"/>
      <c r="E293" s="12"/>
      <c r="F293" s="12"/>
      <c r="G293" s="38"/>
      <c r="H293" s="12"/>
      <c r="I293" s="12"/>
      <c r="J293" s="12"/>
      <c r="K293" s="12"/>
      <c r="L293" s="35"/>
    </row>
    <row r="294" spans="1:12" x14ac:dyDescent="0.25">
      <c r="A294" s="11"/>
      <c r="B294" s="11"/>
      <c r="C294" s="11"/>
      <c r="D294" s="11"/>
      <c r="E294" s="11"/>
      <c r="F294" s="11"/>
      <c r="G294" s="39"/>
      <c r="H294" s="11"/>
      <c r="I294" s="11"/>
      <c r="J294" s="11"/>
      <c r="K294" s="11"/>
      <c r="L294" s="34"/>
    </row>
    <row r="295" spans="1:12" x14ac:dyDescent="0.25">
      <c r="A295" s="12"/>
      <c r="B295" s="12"/>
      <c r="C295" s="12"/>
      <c r="D295" s="12"/>
      <c r="E295" s="12"/>
      <c r="F295" s="12"/>
      <c r="G295" s="38"/>
      <c r="H295" s="12"/>
      <c r="I295" s="12"/>
      <c r="J295" s="12"/>
      <c r="K295" s="12"/>
      <c r="L295" s="35"/>
    </row>
    <row r="296" spans="1:12" x14ac:dyDescent="0.25">
      <c r="A296" s="11"/>
      <c r="B296" s="11"/>
      <c r="C296" s="11"/>
      <c r="D296" s="11"/>
      <c r="E296" s="11"/>
      <c r="F296" s="11"/>
      <c r="G296" s="39"/>
      <c r="H296" s="11"/>
      <c r="I296" s="11"/>
      <c r="J296" s="11"/>
      <c r="K296" s="11"/>
      <c r="L296" s="34"/>
    </row>
    <row r="297" spans="1:12" x14ac:dyDescent="0.25">
      <c r="A297" s="12"/>
      <c r="B297" s="12"/>
      <c r="C297" s="12"/>
      <c r="D297" s="12"/>
      <c r="E297" s="12"/>
      <c r="F297" s="12"/>
      <c r="G297" s="38"/>
      <c r="H297" s="12"/>
      <c r="I297" s="12"/>
      <c r="J297" s="12"/>
      <c r="K297" s="12"/>
      <c r="L297" s="35"/>
    </row>
    <row r="298" spans="1:12" x14ac:dyDescent="0.25">
      <c r="A298" s="11"/>
      <c r="B298" s="11"/>
      <c r="C298" s="11"/>
      <c r="D298" s="11"/>
      <c r="E298" s="11"/>
      <c r="F298" s="11"/>
      <c r="G298" s="39"/>
      <c r="H298" s="11"/>
      <c r="I298" s="11"/>
      <c r="J298" s="11"/>
      <c r="K298" s="11"/>
      <c r="L298" s="34"/>
    </row>
    <row r="299" spans="1:12" x14ac:dyDescent="0.25">
      <c r="A299" s="12"/>
      <c r="B299" s="12"/>
      <c r="C299" s="12"/>
      <c r="D299" s="12"/>
      <c r="E299" s="12"/>
      <c r="F299" s="12"/>
      <c r="G299" s="38"/>
      <c r="H299" s="12"/>
      <c r="I299" s="12"/>
      <c r="J299" s="12"/>
      <c r="K299" s="12"/>
      <c r="L299" s="35"/>
    </row>
    <row r="300" spans="1:12" x14ac:dyDescent="0.25">
      <c r="A300" s="11"/>
      <c r="B300" s="11"/>
      <c r="C300" s="11"/>
      <c r="D300" s="11"/>
      <c r="E300" s="11"/>
      <c r="F300" s="11"/>
      <c r="G300" s="39"/>
      <c r="H300" s="11"/>
      <c r="I300" s="11"/>
      <c r="J300" s="11"/>
      <c r="K300" s="11"/>
      <c r="L300" s="34"/>
    </row>
    <row r="301" spans="1:12" x14ac:dyDescent="0.25">
      <c r="A301" s="12"/>
      <c r="B301" s="12"/>
      <c r="C301" s="12"/>
      <c r="D301" s="12"/>
      <c r="E301" s="12"/>
      <c r="F301" s="12"/>
      <c r="G301" s="38"/>
      <c r="H301" s="12"/>
      <c r="I301" s="12"/>
      <c r="J301" s="12"/>
      <c r="K301" s="12"/>
      <c r="L301" s="35"/>
    </row>
    <row r="302" spans="1:12" x14ac:dyDescent="0.25">
      <c r="A302" s="11"/>
      <c r="B302" s="11"/>
      <c r="C302" s="11"/>
      <c r="D302" s="11"/>
      <c r="E302" s="11"/>
      <c r="F302" s="11"/>
      <c r="G302" s="39"/>
      <c r="H302" s="11"/>
      <c r="I302" s="11"/>
      <c r="J302" s="11"/>
      <c r="K302" s="11"/>
      <c r="L302" s="34"/>
    </row>
    <row r="303" spans="1:12" x14ac:dyDescent="0.25">
      <c r="A303" s="12"/>
      <c r="B303" s="12"/>
      <c r="C303" s="12"/>
      <c r="D303" s="12"/>
      <c r="E303" s="12"/>
      <c r="F303" s="12"/>
      <c r="G303" s="38"/>
      <c r="H303" s="12"/>
      <c r="I303" s="12"/>
      <c r="J303" s="12"/>
      <c r="K303" s="12"/>
      <c r="L303" s="35"/>
    </row>
    <row r="304" spans="1:12" x14ac:dyDescent="0.25">
      <c r="A304" s="11"/>
      <c r="B304" s="11"/>
      <c r="C304" s="11"/>
      <c r="D304" s="11"/>
      <c r="E304" s="11"/>
      <c r="F304" s="11"/>
      <c r="G304" s="39"/>
      <c r="H304" s="11"/>
      <c r="I304" s="11"/>
      <c r="J304" s="11"/>
      <c r="K304" s="11"/>
      <c r="L304" s="34"/>
    </row>
    <row r="305" spans="1:12" x14ac:dyDescent="0.25">
      <c r="A305" s="12"/>
      <c r="B305" s="12"/>
      <c r="C305" s="12"/>
      <c r="D305" s="12"/>
      <c r="E305" s="12"/>
      <c r="F305" s="12"/>
      <c r="G305" s="38"/>
      <c r="H305" s="12"/>
      <c r="I305" s="12"/>
      <c r="J305" s="12"/>
      <c r="K305" s="12"/>
      <c r="L305" s="35"/>
    </row>
    <row r="306" spans="1:12" x14ac:dyDescent="0.25">
      <c r="A306" s="11"/>
      <c r="B306" s="11"/>
      <c r="C306" s="11"/>
      <c r="D306" s="11"/>
      <c r="E306" s="11"/>
      <c r="F306" s="11"/>
      <c r="G306" s="39"/>
      <c r="H306" s="11"/>
      <c r="I306" s="11"/>
      <c r="J306" s="11"/>
      <c r="K306" s="11"/>
      <c r="L306" s="34"/>
    </row>
    <row r="307" spans="1:12" x14ac:dyDescent="0.25">
      <c r="A307" s="12"/>
      <c r="B307" s="12"/>
      <c r="C307" s="12"/>
      <c r="D307" s="12"/>
      <c r="E307" s="12"/>
      <c r="F307" s="12"/>
      <c r="G307" s="38"/>
      <c r="H307" s="12"/>
      <c r="I307" s="12"/>
      <c r="J307" s="12"/>
      <c r="K307" s="12"/>
      <c r="L307" s="35"/>
    </row>
    <row r="308" spans="1:12" x14ac:dyDescent="0.25">
      <c r="A308" s="11"/>
      <c r="B308" s="11"/>
      <c r="C308" s="11"/>
      <c r="D308" s="11"/>
      <c r="E308" s="11"/>
      <c r="F308" s="11"/>
      <c r="G308" s="39"/>
      <c r="H308" s="11"/>
      <c r="I308" s="11"/>
      <c r="J308" s="11"/>
      <c r="K308" s="11"/>
      <c r="L308" s="34"/>
    </row>
    <row r="309" spans="1:12" x14ac:dyDescent="0.25">
      <c r="A309" s="12"/>
      <c r="B309" s="12"/>
      <c r="C309" s="12"/>
      <c r="D309" s="12"/>
      <c r="E309" s="12"/>
      <c r="F309" s="12"/>
      <c r="G309" s="38"/>
      <c r="H309" s="12"/>
      <c r="I309" s="12"/>
      <c r="J309" s="12"/>
      <c r="K309" s="12"/>
      <c r="L309" s="35"/>
    </row>
    <row r="310" spans="1:12" x14ac:dyDescent="0.25">
      <c r="A310" s="11"/>
      <c r="B310" s="11"/>
      <c r="C310" s="11"/>
      <c r="D310" s="11"/>
      <c r="E310" s="11"/>
      <c r="F310" s="11"/>
      <c r="G310" s="39"/>
      <c r="H310" s="11"/>
      <c r="I310" s="11"/>
      <c r="J310" s="11"/>
      <c r="K310" s="11"/>
      <c r="L310" s="34"/>
    </row>
    <row r="311" spans="1:12" x14ac:dyDescent="0.25">
      <c r="A311" s="12"/>
      <c r="B311" s="12"/>
      <c r="C311" s="12"/>
      <c r="D311" s="12"/>
      <c r="E311" s="12"/>
      <c r="F311" s="12"/>
      <c r="G311" s="38"/>
      <c r="H311" s="12"/>
      <c r="I311" s="12"/>
      <c r="J311" s="12"/>
      <c r="K311" s="12"/>
      <c r="L311" s="35"/>
    </row>
    <row r="312" spans="1:12" x14ac:dyDescent="0.25">
      <c r="A312" s="11"/>
      <c r="B312" s="11"/>
      <c r="C312" s="11"/>
      <c r="D312" s="11"/>
      <c r="E312" s="11"/>
      <c r="F312" s="11"/>
      <c r="G312" s="39"/>
      <c r="H312" s="11"/>
      <c r="I312" s="11"/>
      <c r="J312" s="11"/>
      <c r="K312" s="11"/>
      <c r="L312" s="34"/>
    </row>
    <row r="313" spans="1:12" x14ac:dyDescent="0.25">
      <c r="A313" s="12"/>
      <c r="B313" s="12"/>
      <c r="C313" s="12"/>
      <c r="D313" s="12"/>
      <c r="E313" s="12"/>
      <c r="F313" s="12"/>
      <c r="G313" s="38"/>
      <c r="H313" s="12"/>
      <c r="I313" s="12"/>
      <c r="J313" s="12"/>
      <c r="K313" s="12"/>
      <c r="L313" s="35"/>
    </row>
    <row r="314" spans="1:12" x14ac:dyDescent="0.25">
      <c r="A314" s="11"/>
      <c r="B314" s="11"/>
      <c r="C314" s="11"/>
      <c r="D314" s="11"/>
      <c r="E314" s="11"/>
      <c r="F314" s="11"/>
      <c r="G314" s="39"/>
      <c r="H314" s="11"/>
      <c r="I314" s="11"/>
      <c r="J314" s="11"/>
      <c r="K314" s="11"/>
      <c r="L314" s="34"/>
    </row>
    <row r="315" spans="1:12" x14ac:dyDescent="0.25">
      <c r="A315" s="12"/>
      <c r="B315" s="12"/>
      <c r="C315" s="12"/>
      <c r="D315" s="12"/>
      <c r="E315" s="12"/>
      <c r="F315" s="12"/>
      <c r="G315" s="38"/>
      <c r="H315" s="12"/>
      <c r="I315" s="12"/>
      <c r="J315" s="12"/>
      <c r="K315" s="12"/>
      <c r="L315" s="35"/>
    </row>
    <row r="316" spans="1:12" x14ac:dyDescent="0.25">
      <c r="A316" s="11"/>
      <c r="B316" s="11"/>
      <c r="C316" s="11"/>
      <c r="D316" s="11"/>
      <c r="E316" s="11"/>
      <c r="F316" s="11"/>
      <c r="G316" s="39"/>
      <c r="H316" s="11"/>
      <c r="I316" s="11"/>
      <c r="J316" s="11"/>
      <c r="K316" s="11"/>
      <c r="L316" s="34"/>
    </row>
    <row r="317" spans="1:12" x14ac:dyDescent="0.25">
      <c r="A317" s="12"/>
      <c r="B317" s="12"/>
      <c r="C317" s="12"/>
      <c r="D317" s="12"/>
      <c r="E317" s="12"/>
      <c r="F317" s="12"/>
      <c r="G317" s="38"/>
      <c r="H317" s="12"/>
      <c r="I317" s="12"/>
      <c r="J317" s="12"/>
      <c r="K317" s="12"/>
      <c r="L317" s="35"/>
    </row>
    <row r="318" spans="1:12" x14ac:dyDescent="0.25">
      <c r="A318" s="11"/>
      <c r="B318" s="11"/>
      <c r="C318" s="11"/>
      <c r="D318" s="11"/>
      <c r="E318" s="11"/>
      <c r="F318" s="11"/>
      <c r="G318" s="39"/>
      <c r="H318" s="11"/>
      <c r="I318" s="11"/>
      <c r="J318" s="11"/>
      <c r="K318" s="11"/>
      <c r="L318" s="34"/>
    </row>
    <row r="319" spans="1:12" x14ac:dyDescent="0.25">
      <c r="A319" s="12"/>
      <c r="B319" s="12"/>
      <c r="C319" s="12"/>
      <c r="D319" s="12"/>
      <c r="E319" s="12"/>
      <c r="F319" s="12"/>
      <c r="G319" s="38"/>
      <c r="H319" s="12"/>
      <c r="I319" s="12"/>
      <c r="J319" s="12"/>
      <c r="K319" s="12"/>
      <c r="L319" s="35"/>
    </row>
    <row r="320" spans="1:12" x14ac:dyDescent="0.25">
      <c r="A320" s="11"/>
      <c r="B320" s="11"/>
      <c r="C320" s="11"/>
      <c r="D320" s="11"/>
      <c r="E320" s="11"/>
      <c r="F320" s="11"/>
      <c r="G320" s="39"/>
      <c r="H320" s="11"/>
      <c r="I320" s="11"/>
      <c r="J320" s="11"/>
      <c r="K320" s="11"/>
      <c r="L320" s="34"/>
    </row>
    <row r="321" spans="1:12" x14ac:dyDescent="0.25">
      <c r="A321" s="12"/>
      <c r="B321" s="12"/>
      <c r="C321" s="12"/>
      <c r="D321" s="12"/>
      <c r="E321" s="12"/>
      <c r="F321" s="12"/>
      <c r="G321" s="38"/>
      <c r="H321" s="12"/>
      <c r="I321" s="12"/>
      <c r="J321" s="12"/>
      <c r="K321" s="12"/>
      <c r="L321" s="35"/>
    </row>
    <row r="322" spans="1:12" x14ac:dyDescent="0.25">
      <c r="A322" s="11"/>
      <c r="B322" s="11"/>
      <c r="C322" s="11"/>
      <c r="D322" s="11"/>
      <c r="E322" s="11"/>
      <c r="F322" s="11"/>
      <c r="G322" s="39"/>
      <c r="H322" s="11"/>
      <c r="I322" s="11"/>
      <c r="J322" s="11"/>
      <c r="K322" s="11"/>
      <c r="L322" s="34"/>
    </row>
    <row r="323" spans="1:12" x14ac:dyDescent="0.25">
      <c r="A323" s="12"/>
      <c r="B323" s="12"/>
      <c r="C323" s="12"/>
      <c r="D323" s="12"/>
      <c r="E323" s="12"/>
      <c r="F323" s="12"/>
      <c r="G323" s="38"/>
      <c r="H323" s="12"/>
      <c r="I323" s="12"/>
      <c r="J323" s="12"/>
      <c r="K323" s="12"/>
      <c r="L323" s="35"/>
    </row>
    <row r="324" spans="1:12" x14ac:dyDescent="0.25">
      <c r="A324" s="11"/>
      <c r="B324" s="11"/>
      <c r="C324" s="11"/>
      <c r="D324" s="11"/>
      <c r="E324" s="11"/>
      <c r="F324" s="11"/>
      <c r="G324" s="39"/>
      <c r="H324" s="11"/>
      <c r="I324" s="11"/>
      <c r="J324" s="11"/>
      <c r="K324" s="11"/>
      <c r="L324" s="34"/>
    </row>
    <row r="325" spans="1:12" x14ac:dyDescent="0.25">
      <c r="A325" s="12"/>
      <c r="B325" s="12"/>
      <c r="C325" s="12"/>
      <c r="D325" s="12"/>
      <c r="E325" s="12"/>
      <c r="F325" s="12"/>
      <c r="G325" s="38"/>
      <c r="H325" s="12"/>
      <c r="I325" s="12"/>
      <c r="J325" s="12"/>
      <c r="K325" s="12"/>
      <c r="L325" s="35"/>
    </row>
    <row r="326" spans="1:12" x14ac:dyDescent="0.25">
      <c r="A326" s="11"/>
      <c r="B326" s="11"/>
      <c r="C326" s="11"/>
      <c r="D326" s="11"/>
      <c r="E326" s="11"/>
      <c r="F326" s="11"/>
      <c r="G326" s="39"/>
      <c r="H326" s="11"/>
      <c r="I326" s="11"/>
      <c r="J326" s="11"/>
      <c r="K326" s="11"/>
      <c r="L326" s="34"/>
    </row>
    <row r="327" spans="1:12" x14ac:dyDescent="0.25">
      <c r="A327" s="12"/>
      <c r="B327" s="12"/>
      <c r="C327" s="12"/>
      <c r="D327" s="12"/>
      <c r="E327" s="12"/>
      <c r="F327" s="12"/>
      <c r="G327" s="38"/>
      <c r="H327" s="12"/>
      <c r="I327" s="12"/>
      <c r="J327" s="12"/>
      <c r="K327" s="12"/>
      <c r="L327" s="35"/>
    </row>
    <row r="328" spans="1:12" x14ac:dyDescent="0.25">
      <c r="A328" s="11"/>
      <c r="B328" s="11"/>
      <c r="C328" s="11"/>
      <c r="D328" s="11"/>
      <c r="E328" s="11"/>
      <c r="F328" s="11"/>
      <c r="G328" s="39"/>
      <c r="H328" s="11"/>
      <c r="I328" s="11"/>
      <c r="J328" s="11"/>
      <c r="K328" s="11"/>
      <c r="L328" s="34"/>
    </row>
    <row r="329" spans="1:12" x14ac:dyDescent="0.25">
      <c r="A329" s="12"/>
      <c r="B329" s="12"/>
      <c r="C329" s="12"/>
      <c r="D329" s="12"/>
      <c r="E329" s="12"/>
      <c r="F329" s="12"/>
      <c r="G329" s="38"/>
      <c r="H329" s="12"/>
      <c r="I329" s="12"/>
      <c r="J329" s="12"/>
      <c r="K329" s="12"/>
      <c r="L329" s="35"/>
    </row>
    <row r="330" spans="1:12" x14ac:dyDescent="0.25">
      <c r="A330" s="11"/>
      <c r="B330" s="11"/>
      <c r="C330" s="11"/>
      <c r="D330" s="11"/>
      <c r="E330" s="11"/>
      <c r="F330" s="11"/>
      <c r="G330" s="39"/>
      <c r="H330" s="11"/>
      <c r="I330" s="11"/>
      <c r="J330" s="11"/>
      <c r="K330" s="11"/>
      <c r="L330" s="34"/>
    </row>
    <row r="331" spans="1:12" x14ac:dyDescent="0.25">
      <c r="A331" s="12"/>
      <c r="B331" s="12"/>
      <c r="C331" s="12"/>
      <c r="D331" s="12"/>
      <c r="E331" s="12"/>
      <c r="F331" s="12"/>
      <c r="G331" s="38"/>
      <c r="H331" s="12"/>
      <c r="I331" s="12"/>
      <c r="J331" s="12"/>
      <c r="K331" s="12"/>
      <c r="L331" s="35"/>
    </row>
    <row r="332" spans="1:12" x14ac:dyDescent="0.25">
      <c r="A332" s="11"/>
      <c r="B332" s="11"/>
      <c r="C332" s="11"/>
      <c r="D332" s="11"/>
      <c r="E332" s="11"/>
      <c r="F332" s="11"/>
      <c r="G332" s="39"/>
      <c r="H332" s="11"/>
      <c r="I332" s="11"/>
      <c r="J332" s="11"/>
      <c r="K332" s="11"/>
      <c r="L332" s="34"/>
    </row>
    <row r="333" spans="1:12" x14ac:dyDescent="0.25">
      <c r="A333" s="12"/>
      <c r="B333" s="12"/>
      <c r="C333" s="12"/>
      <c r="D333" s="12"/>
      <c r="E333" s="12"/>
      <c r="F333" s="12"/>
      <c r="G333" s="38"/>
      <c r="H333" s="12"/>
      <c r="I333" s="12"/>
      <c r="J333" s="12"/>
      <c r="K333" s="12"/>
      <c r="L333" s="35"/>
    </row>
    <row r="334" spans="1:12" x14ac:dyDescent="0.25">
      <c r="A334" s="11"/>
      <c r="B334" s="11"/>
      <c r="C334" s="11"/>
      <c r="D334" s="11"/>
      <c r="E334" s="11"/>
      <c r="F334" s="11"/>
      <c r="G334" s="39"/>
      <c r="H334" s="11"/>
      <c r="I334" s="11"/>
      <c r="J334" s="11"/>
      <c r="K334" s="11"/>
      <c r="L334" s="34"/>
    </row>
    <row r="335" spans="1:12" x14ac:dyDescent="0.25">
      <c r="A335" s="12"/>
      <c r="B335" s="12"/>
      <c r="C335" s="12"/>
      <c r="D335" s="12"/>
      <c r="E335" s="12"/>
      <c r="F335" s="12"/>
      <c r="G335" s="38"/>
      <c r="H335" s="12"/>
      <c r="I335" s="12"/>
      <c r="J335" s="12"/>
      <c r="K335" s="12"/>
      <c r="L335" s="35"/>
    </row>
    <row r="336" spans="1:12" x14ac:dyDescent="0.25">
      <c r="A336" s="11"/>
      <c r="B336" s="11"/>
      <c r="C336" s="11"/>
      <c r="D336" s="11"/>
      <c r="E336" s="11"/>
      <c r="F336" s="11"/>
      <c r="G336" s="39"/>
      <c r="H336" s="11"/>
      <c r="I336" s="11"/>
      <c r="J336" s="11"/>
      <c r="K336" s="11"/>
      <c r="L336" s="34"/>
    </row>
    <row r="337" spans="1:12" x14ac:dyDescent="0.25">
      <c r="A337" s="12"/>
      <c r="B337" s="12"/>
      <c r="C337" s="12"/>
      <c r="D337" s="12"/>
      <c r="E337" s="12"/>
      <c r="F337" s="12"/>
      <c r="G337" s="38"/>
      <c r="H337" s="12"/>
      <c r="I337" s="12"/>
      <c r="J337" s="12"/>
      <c r="K337" s="12"/>
      <c r="L337" s="35"/>
    </row>
    <row r="338" spans="1:12" x14ac:dyDescent="0.25">
      <c r="A338" s="11"/>
      <c r="B338" s="11"/>
      <c r="C338" s="11"/>
      <c r="D338" s="11"/>
      <c r="E338" s="11"/>
      <c r="F338" s="11"/>
      <c r="G338" s="39"/>
      <c r="H338" s="11"/>
      <c r="I338" s="11"/>
      <c r="J338" s="11"/>
      <c r="K338" s="11"/>
      <c r="L338" s="34"/>
    </row>
    <row r="339" spans="1:12" x14ac:dyDescent="0.25">
      <c r="A339" s="12"/>
      <c r="B339" s="12"/>
      <c r="C339" s="12"/>
      <c r="D339" s="12"/>
      <c r="E339" s="12"/>
      <c r="F339" s="12"/>
      <c r="G339" s="38"/>
      <c r="H339" s="12"/>
      <c r="I339" s="12"/>
      <c r="J339" s="12"/>
      <c r="K339" s="12"/>
      <c r="L339" s="35"/>
    </row>
    <row r="340" spans="1:12" x14ac:dyDescent="0.25">
      <c r="A340" s="11"/>
      <c r="B340" s="11"/>
      <c r="C340" s="11"/>
      <c r="D340" s="11"/>
      <c r="E340" s="11"/>
      <c r="F340" s="11"/>
      <c r="G340" s="39"/>
      <c r="H340" s="11"/>
      <c r="I340" s="11"/>
      <c r="J340" s="11"/>
      <c r="K340" s="11"/>
      <c r="L340" s="34"/>
    </row>
    <row r="341" spans="1:12" x14ac:dyDescent="0.25">
      <c r="A341" s="12"/>
      <c r="B341" s="12"/>
      <c r="C341" s="12"/>
      <c r="D341" s="12"/>
      <c r="E341" s="12"/>
      <c r="F341" s="12"/>
      <c r="G341" s="38"/>
      <c r="H341" s="12"/>
      <c r="I341" s="12"/>
      <c r="J341" s="12"/>
      <c r="K341" s="12"/>
      <c r="L341" s="35"/>
    </row>
    <row r="342" spans="1:12" x14ac:dyDescent="0.25">
      <c r="A342" s="11"/>
      <c r="B342" s="11"/>
      <c r="C342" s="11"/>
      <c r="D342" s="11"/>
      <c r="E342" s="11"/>
      <c r="F342" s="11"/>
      <c r="G342" s="39"/>
      <c r="H342" s="11"/>
      <c r="I342" s="11"/>
      <c r="J342" s="11"/>
      <c r="K342" s="11"/>
      <c r="L342" s="34"/>
    </row>
    <row r="343" spans="1:12" x14ac:dyDescent="0.25">
      <c r="A343" s="12"/>
      <c r="B343" s="12"/>
      <c r="C343" s="12"/>
      <c r="D343" s="12"/>
      <c r="E343" s="12"/>
      <c r="F343" s="12"/>
      <c r="G343" s="38"/>
      <c r="H343" s="12"/>
      <c r="I343" s="12"/>
      <c r="J343" s="12"/>
      <c r="K343" s="12"/>
      <c r="L343" s="35"/>
    </row>
    <row r="344" spans="1:12" x14ac:dyDescent="0.25">
      <c r="A344" s="11"/>
      <c r="B344" s="11"/>
      <c r="C344" s="11"/>
      <c r="D344" s="11"/>
      <c r="E344" s="11"/>
      <c r="F344" s="11"/>
      <c r="G344" s="39"/>
      <c r="H344" s="11"/>
      <c r="I344" s="11"/>
      <c r="J344" s="11"/>
      <c r="K344" s="11"/>
      <c r="L344" s="34"/>
    </row>
    <row r="345" spans="1:12" x14ac:dyDescent="0.25">
      <c r="A345" s="12"/>
      <c r="B345" s="12"/>
      <c r="C345" s="12"/>
      <c r="D345" s="12"/>
      <c r="E345" s="12"/>
      <c r="F345" s="12"/>
      <c r="G345" s="38"/>
      <c r="H345" s="12"/>
      <c r="I345" s="12"/>
      <c r="J345" s="12"/>
      <c r="K345" s="12"/>
      <c r="L345" s="35"/>
    </row>
    <row r="346" spans="1:12" x14ac:dyDescent="0.25">
      <c r="A346" s="11"/>
      <c r="B346" s="11"/>
      <c r="C346" s="11"/>
      <c r="D346" s="11"/>
      <c r="E346" s="11"/>
      <c r="F346" s="11"/>
      <c r="G346" s="39"/>
      <c r="H346" s="11"/>
      <c r="I346" s="11"/>
      <c r="J346" s="11"/>
      <c r="K346" s="11"/>
      <c r="L346" s="34"/>
    </row>
    <row r="347" spans="1:12" x14ac:dyDescent="0.25">
      <c r="A347" s="12"/>
      <c r="B347" s="12"/>
      <c r="C347" s="12"/>
      <c r="D347" s="12"/>
      <c r="E347" s="12"/>
      <c r="F347" s="12"/>
      <c r="G347" s="38"/>
      <c r="H347" s="12"/>
      <c r="I347" s="12"/>
      <c r="J347" s="12"/>
      <c r="K347" s="12"/>
      <c r="L347" s="35"/>
    </row>
    <row r="348" spans="1:12" x14ac:dyDescent="0.25">
      <c r="A348" s="11"/>
      <c r="B348" s="11"/>
      <c r="C348" s="11"/>
      <c r="D348" s="11"/>
      <c r="E348" s="11"/>
      <c r="F348" s="11"/>
      <c r="G348" s="39"/>
      <c r="H348" s="11"/>
      <c r="I348" s="11"/>
      <c r="J348" s="11"/>
      <c r="K348" s="11"/>
      <c r="L348" s="34"/>
    </row>
    <row r="349" spans="1:12" x14ac:dyDescent="0.25">
      <c r="A349" s="12"/>
      <c r="B349" s="12"/>
      <c r="C349" s="12"/>
      <c r="D349" s="12"/>
      <c r="E349" s="12"/>
      <c r="F349" s="12"/>
      <c r="G349" s="38"/>
      <c r="H349" s="12"/>
      <c r="I349" s="12"/>
      <c r="J349" s="12"/>
      <c r="K349" s="12"/>
      <c r="L349" s="35"/>
    </row>
    <row r="350" spans="1:12" x14ac:dyDescent="0.25">
      <c r="A350" s="11"/>
      <c r="B350" s="11"/>
      <c r="C350" s="11"/>
      <c r="D350" s="11"/>
      <c r="E350" s="11"/>
      <c r="F350" s="11"/>
      <c r="G350" s="39"/>
      <c r="H350" s="11"/>
      <c r="I350" s="11"/>
      <c r="J350" s="11"/>
      <c r="K350" s="11"/>
      <c r="L350" s="34"/>
    </row>
    <row r="351" spans="1:12" x14ac:dyDescent="0.25">
      <c r="A351" s="12"/>
      <c r="B351" s="12"/>
      <c r="C351" s="12"/>
      <c r="D351" s="12"/>
      <c r="E351" s="12"/>
      <c r="F351" s="12"/>
      <c r="G351" s="38"/>
      <c r="H351" s="12"/>
      <c r="I351" s="12"/>
      <c r="J351" s="12"/>
      <c r="K351" s="12"/>
      <c r="L351" s="35"/>
    </row>
    <row r="352" spans="1:12" x14ac:dyDescent="0.25">
      <c r="A352" s="11"/>
      <c r="B352" s="11"/>
      <c r="C352" s="11"/>
      <c r="D352" s="11"/>
      <c r="E352" s="11"/>
      <c r="F352" s="11"/>
      <c r="G352" s="39"/>
      <c r="H352" s="11"/>
      <c r="I352" s="11"/>
      <c r="J352" s="11"/>
      <c r="K352" s="11"/>
      <c r="L352" s="34"/>
    </row>
    <row r="353" spans="1:12" x14ac:dyDescent="0.25">
      <c r="A353" s="12"/>
      <c r="B353" s="12"/>
      <c r="C353" s="12"/>
      <c r="D353" s="12"/>
      <c r="E353" s="12"/>
      <c r="F353" s="12"/>
      <c r="G353" s="38"/>
      <c r="H353" s="12"/>
      <c r="I353" s="12"/>
      <c r="J353" s="12"/>
      <c r="K353" s="12"/>
      <c r="L353" s="35"/>
    </row>
    <row r="354" spans="1:12" x14ac:dyDescent="0.25">
      <c r="A354" s="11"/>
      <c r="B354" s="11"/>
      <c r="C354" s="11"/>
      <c r="D354" s="11"/>
      <c r="E354" s="11"/>
      <c r="F354" s="11"/>
      <c r="G354" s="39"/>
      <c r="H354" s="11"/>
      <c r="I354" s="11"/>
      <c r="J354" s="11"/>
      <c r="K354" s="11"/>
      <c r="L354" s="34"/>
    </row>
    <row r="355" spans="1:12" x14ac:dyDescent="0.25">
      <c r="A355" s="12"/>
      <c r="B355" s="12"/>
      <c r="C355" s="12"/>
      <c r="D355" s="12"/>
      <c r="E355" s="12"/>
      <c r="F355" s="12"/>
      <c r="G355" s="38"/>
      <c r="H355" s="12"/>
      <c r="I355" s="12"/>
      <c r="J355" s="12"/>
      <c r="K355" s="12"/>
      <c r="L355" s="35"/>
    </row>
    <row r="356" spans="1:12" x14ac:dyDescent="0.25">
      <c r="A356" s="11"/>
      <c r="B356" s="11"/>
      <c r="C356" s="11"/>
      <c r="D356" s="11"/>
      <c r="E356" s="11"/>
      <c r="F356" s="11"/>
      <c r="G356" s="39"/>
      <c r="H356" s="11"/>
      <c r="I356" s="11"/>
      <c r="J356" s="11"/>
      <c r="K356" s="11"/>
      <c r="L356" s="34"/>
    </row>
    <row r="357" spans="1:12" x14ac:dyDescent="0.25">
      <c r="A357" s="12"/>
      <c r="B357" s="12"/>
      <c r="C357" s="12"/>
      <c r="D357" s="12"/>
      <c r="E357" s="12"/>
      <c r="F357" s="12"/>
      <c r="G357" s="38"/>
      <c r="H357" s="12"/>
      <c r="I357" s="12"/>
      <c r="J357" s="12"/>
      <c r="K357" s="12"/>
      <c r="L357" s="35"/>
    </row>
    <row r="358" spans="1:12" x14ac:dyDescent="0.25">
      <c r="A358" s="11"/>
      <c r="B358" s="11"/>
      <c r="C358" s="11"/>
      <c r="D358" s="11"/>
      <c r="E358" s="11"/>
      <c r="F358" s="11"/>
      <c r="G358" s="39"/>
      <c r="H358" s="11"/>
      <c r="I358" s="11"/>
      <c r="J358" s="11"/>
      <c r="K358" s="11"/>
      <c r="L358" s="34"/>
    </row>
    <row r="359" spans="1:12" x14ac:dyDescent="0.25">
      <c r="A359" s="12"/>
      <c r="B359" s="12"/>
      <c r="C359" s="12"/>
      <c r="D359" s="12"/>
      <c r="E359" s="12"/>
      <c r="F359" s="12"/>
      <c r="G359" s="38"/>
      <c r="H359" s="12"/>
      <c r="I359" s="12"/>
      <c r="J359" s="12"/>
      <c r="K359" s="12"/>
      <c r="L359" s="35"/>
    </row>
    <row r="360" spans="1:12" x14ac:dyDescent="0.25">
      <c r="A360" s="11"/>
      <c r="B360" s="11"/>
      <c r="C360" s="11"/>
      <c r="D360" s="11"/>
      <c r="E360" s="11"/>
      <c r="F360" s="11"/>
      <c r="G360" s="39"/>
      <c r="H360" s="11"/>
      <c r="I360" s="11"/>
      <c r="J360" s="11"/>
      <c r="K360" s="11"/>
      <c r="L360" s="34"/>
    </row>
    <row r="361" spans="1:12" x14ac:dyDescent="0.25">
      <c r="A361" s="12"/>
      <c r="B361" s="12"/>
      <c r="C361" s="12"/>
      <c r="D361" s="12"/>
      <c r="E361" s="12"/>
      <c r="F361" s="12"/>
      <c r="G361" s="38"/>
      <c r="H361" s="12"/>
      <c r="I361" s="12"/>
      <c r="J361" s="12"/>
      <c r="K361" s="12"/>
      <c r="L361" s="35"/>
    </row>
    <row r="362" spans="1:12" x14ac:dyDescent="0.25">
      <c r="A362" s="11"/>
      <c r="B362" s="11"/>
      <c r="C362" s="11"/>
      <c r="D362" s="11"/>
      <c r="E362" s="11"/>
      <c r="F362" s="11"/>
      <c r="G362" s="39"/>
      <c r="H362" s="11"/>
      <c r="I362" s="11"/>
      <c r="J362" s="11"/>
      <c r="K362" s="11"/>
      <c r="L362" s="34"/>
    </row>
    <row r="363" spans="1:12" x14ac:dyDescent="0.25">
      <c r="A363" s="12"/>
      <c r="B363" s="12"/>
      <c r="C363" s="12"/>
      <c r="D363" s="12"/>
      <c r="E363" s="12"/>
      <c r="F363" s="12"/>
      <c r="G363" s="38"/>
      <c r="H363" s="12"/>
      <c r="I363" s="12"/>
      <c r="J363" s="12"/>
      <c r="K363" s="12"/>
      <c r="L363" s="35"/>
    </row>
    <row r="364" spans="1:12" x14ac:dyDescent="0.25">
      <c r="A364" s="11"/>
      <c r="B364" s="11"/>
      <c r="C364" s="11"/>
      <c r="D364" s="11"/>
      <c r="E364" s="11"/>
      <c r="F364" s="11"/>
      <c r="G364" s="39"/>
      <c r="H364" s="11"/>
      <c r="I364" s="11"/>
      <c r="J364" s="11"/>
      <c r="K364" s="11"/>
      <c r="L364" s="34"/>
    </row>
    <row r="365" spans="1:12" x14ac:dyDescent="0.25">
      <c r="A365" s="12"/>
      <c r="B365" s="12"/>
      <c r="C365" s="12"/>
      <c r="D365" s="12"/>
      <c r="E365" s="12"/>
      <c r="F365" s="12"/>
      <c r="G365" s="38"/>
      <c r="H365" s="12"/>
      <c r="I365" s="12"/>
      <c r="J365" s="12"/>
      <c r="K365" s="12"/>
      <c r="L365" s="35"/>
    </row>
    <row r="366" spans="1:12" x14ac:dyDescent="0.25">
      <c r="A366" s="11"/>
      <c r="B366" s="11"/>
      <c r="C366" s="11"/>
      <c r="D366" s="11"/>
      <c r="E366" s="11"/>
      <c r="F366" s="11"/>
      <c r="G366" s="39"/>
      <c r="H366" s="11"/>
      <c r="I366" s="11"/>
      <c r="J366" s="11"/>
      <c r="K366" s="11"/>
      <c r="L366" s="34"/>
    </row>
    <row r="367" spans="1:12" x14ac:dyDescent="0.25">
      <c r="A367" s="12"/>
      <c r="B367" s="12"/>
      <c r="C367" s="12"/>
      <c r="D367" s="12"/>
      <c r="E367" s="12"/>
      <c r="F367" s="12"/>
      <c r="G367" s="38"/>
      <c r="H367" s="12"/>
      <c r="I367" s="12"/>
      <c r="J367" s="12"/>
      <c r="K367" s="12"/>
      <c r="L367" s="35"/>
    </row>
    <row r="368" spans="1:12" x14ac:dyDescent="0.25">
      <c r="A368" s="11"/>
      <c r="B368" s="11"/>
      <c r="C368" s="11"/>
      <c r="D368" s="11"/>
      <c r="E368" s="11"/>
      <c r="F368" s="11"/>
      <c r="G368" s="39"/>
      <c r="H368" s="11"/>
      <c r="I368" s="11"/>
      <c r="J368" s="11"/>
      <c r="K368" s="11"/>
      <c r="L368" s="34"/>
    </row>
    <row r="369" spans="1:12" x14ac:dyDescent="0.25">
      <c r="A369" s="12"/>
      <c r="B369" s="12"/>
      <c r="C369" s="12"/>
      <c r="D369" s="12"/>
      <c r="E369" s="12"/>
      <c r="F369" s="12"/>
      <c r="G369" s="38"/>
      <c r="H369" s="12"/>
      <c r="I369" s="12"/>
      <c r="J369" s="12"/>
      <c r="K369" s="12"/>
      <c r="L369" s="35"/>
    </row>
    <row r="370" spans="1:12" x14ac:dyDescent="0.25">
      <c r="A370" s="11"/>
      <c r="B370" s="11"/>
      <c r="C370" s="11"/>
      <c r="D370" s="11"/>
      <c r="E370" s="11"/>
      <c r="F370" s="11"/>
      <c r="G370" s="39"/>
      <c r="H370" s="11"/>
      <c r="I370" s="11"/>
      <c r="J370" s="11"/>
      <c r="K370" s="11"/>
      <c r="L370" s="34"/>
    </row>
    <row r="371" spans="1:12" x14ac:dyDescent="0.25">
      <c r="A371" s="12"/>
      <c r="B371" s="12"/>
      <c r="C371" s="12"/>
      <c r="D371" s="12"/>
      <c r="E371" s="12"/>
      <c r="F371" s="12"/>
      <c r="G371" s="38"/>
      <c r="H371" s="12"/>
      <c r="I371" s="12"/>
      <c r="J371" s="12"/>
      <c r="K371" s="12"/>
      <c r="L371" s="35"/>
    </row>
    <row r="372" spans="1:12" x14ac:dyDescent="0.25">
      <c r="A372" s="11"/>
      <c r="B372" s="11"/>
      <c r="C372" s="11"/>
      <c r="D372" s="11"/>
      <c r="E372" s="11"/>
      <c r="F372" s="11"/>
      <c r="G372" s="39"/>
      <c r="H372" s="11"/>
      <c r="I372" s="11"/>
      <c r="J372" s="11"/>
      <c r="K372" s="11"/>
      <c r="L372" s="34"/>
    </row>
    <row r="373" spans="1:12" x14ac:dyDescent="0.25">
      <c r="A373" s="12"/>
      <c r="B373" s="12"/>
      <c r="C373" s="12"/>
      <c r="D373" s="12"/>
      <c r="E373" s="12"/>
      <c r="F373" s="12"/>
      <c r="G373" s="38"/>
      <c r="H373" s="12"/>
      <c r="I373" s="12"/>
      <c r="J373" s="12"/>
      <c r="K373" s="12"/>
      <c r="L373" s="35"/>
    </row>
    <row r="374" spans="1:12" x14ac:dyDescent="0.25">
      <c r="A374" s="11"/>
      <c r="B374" s="11"/>
      <c r="C374" s="11"/>
      <c r="D374" s="11"/>
      <c r="E374" s="11"/>
      <c r="F374" s="11"/>
      <c r="G374" s="39"/>
      <c r="H374" s="11"/>
      <c r="I374" s="11"/>
      <c r="J374" s="11"/>
      <c r="K374" s="11"/>
      <c r="L374" s="34"/>
    </row>
    <row r="375" spans="1:12" x14ac:dyDescent="0.25">
      <c r="A375" s="12"/>
      <c r="B375" s="12"/>
      <c r="C375" s="12"/>
      <c r="D375" s="12"/>
      <c r="E375" s="12"/>
      <c r="F375" s="12"/>
      <c r="G375" s="38"/>
      <c r="H375" s="12"/>
      <c r="I375" s="12"/>
      <c r="J375" s="12"/>
      <c r="K375" s="12"/>
      <c r="L375" s="35"/>
    </row>
    <row r="376" spans="1:12" x14ac:dyDescent="0.25">
      <c r="A376" s="11"/>
      <c r="B376" s="11"/>
      <c r="C376" s="11"/>
      <c r="D376" s="11"/>
      <c r="E376" s="11"/>
      <c r="F376" s="11"/>
      <c r="G376" s="39"/>
      <c r="H376" s="11"/>
      <c r="I376" s="11"/>
      <c r="J376" s="11"/>
      <c r="K376" s="11"/>
      <c r="L376" s="34"/>
    </row>
    <row r="377" spans="1:12" x14ac:dyDescent="0.25">
      <c r="A377" s="12"/>
      <c r="B377" s="12"/>
      <c r="C377" s="12"/>
      <c r="D377" s="12"/>
      <c r="E377" s="12"/>
      <c r="F377" s="12"/>
      <c r="G377" s="38"/>
      <c r="H377" s="12"/>
      <c r="I377" s="12"/>
      <c r="J377" s="12"/>
      <c r="K377" s="12"/>
      <c r="L377" s="35"/>
    </row>
    <row r="378" spans="1:12" x14ac:dyDescent="0.25">
      <c r="A378" s="11"/>
      <c r="B378" s="11"/>
      <c r="C378" s="11"/>
      <c r="D378" s="11"/>
      <c r="E378" s="11"/>
      <c r="F378" s="11"/>
      <c r="G378" s="39"/>
      <c r="H378" s="11"/>
      <c r="I378" s="11"/>
      <c r="J378" s="11"/>
      <c r="K378" s="11"/>
      <c r="L378" s="34"/>
    </row>
    <row r="379" spans="1:12" x14ac:dyDescent="0.25">
      <c r="A379" s="12"/>
      <c r="B379" s="12"/>
      <c r="C379" s="12"/>
      <c r="D379" s="12"/>
      <c r="E379" s="12"/>
      <c r="F379" s="12"/>
      <c r="G379" s="38"/>
      <c r="H379" s="12"/>
      <c r="I379" s="12"/>
      <c r="J379" s="12"/>
      <c r="K379" s="12"/>
      <c r="L379" s="35"/>
    </row>
    <row r="380" spans="1:12" x14ac:dyDescent="0.25">
      <c r="A380" s="11"/>
      <c r="B380" s="11"/>
      <c r="C380" s="11"/>
      <c r="D380" s="11"/>
      <c r="E380" s="11"/>
      <c r="F380" s="11"/>
      <c r="G380" s="39"/>
      <c r="H380" s="11"/>
      <c r="I380" s="11"/>
      <c r="J380" s="11"/>
      <c r="K380" s="11"/>
      <c r="L380" s="34"/>
    </row>
    <row r="381" spans="1:12" x14ac:dyDescent="0.25">
      <c r="A381" s="12"/>
      <c r="B381" s="12"/>
      <c r="C381" s="12"/>
      <c r="D381" s="12"/>
      <c r="E381" s="12"/>
      <c r="F381" s="12"/>
      <c r="G381" s="38"/>
      <c r="H381" s="12"/>
      <c r="I381" s="12"/>
      <c r="J381" s="12"/>
      <c r="K381" s="12"/>
      <c r="L381" s="35"/>
    </row>
    <row r="382" spans="1:12" x14ac:dyDescent="0.25">
      <c r="A382" s="11"/>
      <c r="B382" s="11"/>
      <c r="C382" s="11"/>
      <c r="D382" s="11"/>
      <c r="E382" s="11"/>
      <c r="F382" s="11"/>
      <c r="G382" s="39"/>
      <c r="H382" s="11"/>
      <c r="I382" s="11"/>
      <c r="J382" s="11"/>
      <c r="K382" s="11"/>
      <c r="L382" s="34"/>
    </row>
    <row r="383" spans="1:12" x14ac:dyDescent="0.25">
      <c r="A383" s="12"/>
      <c r="B383" s="12"/>
      <c r="C383" s="12"/>
      <c r="D383" s="12"/>
      <c r="E383" s="12"/>
      <c r="F383" s="12"/>
      <c r="G383" s="38"/>
      <c r="H383" s="12"/>
      <c r="I383" s="12"/>
      <c r="J383" s="12"/>
      <c r="K383" s="12"/>
      <c r="L383" s="35"/>
    </row>
    <row r="384" spans="1:12" x14ac:dyDescent="0.25">
      <c r="A384" s="11"/>
      <c r="B384" s="11"/>
      <c r="C384" s="11"/>
      <c r="D384" s="11"/>
      <c r="E384" s="11"/>
      <c r="F384" s="11"/>
      <c r="G384" s="39"/>
      <c r="H384" s="11"/>
      <c r="I384" s="11"/>
      <c r="J384" s="11"/>
      <c r="K384" s="11"/>
      <c r="L384" s="34"/>
    </row>
    <row r="385" spans="1:12" x14ac:dyDescent="0.25">
      <c r="A385" s="12"/>
      <c r="B385" s="12"/>
      <c r="C385" s="12"/>
      <c r="D385" s="12"/>
      <c r="E385" s="12"/>
      <c r="F385" s="12"/>
      <c r="G385" s="38"/>
      <c r="H385" s="12"/>
      <c r="I385" s="12"/>
      <c r="J385" s="12"/>
      <c r="K385" s="12"/>
      <c r="L385" s="35"/>
    </row>
    <row r="386" spans="1:12" x14ac:dyDescent="0.25">
      <c r="A386" s="11"/>
      <c r="B386" s="11"/>
      <c r="C386" s="11"/>
      <c r="D386" s="11"/>
      <c r="E386" s="11"/>
      <c r="F386" s="11"/>
      <c r="G386" s="39"/>
      <c r="H386" s="11"/>
      <c r="I386" s="11"/>
      <c r="J386" s="11"/>
      <c r="K386" s="11"/>
      <c r="L386" s="34"/>
    </row>
    <row r="387" spans="1:12" x14ac:dyDescent="0.25">
      <c r="A387" s="12"/>
      <c r="B387" s="12"/>
      <c r="C387" s="12"/>
      <c r="D387" s="12"/>
      <c r="E387" s="12"/>
      <c r="F387" s="12"/>
      <c r="G387" s="38"/>
      <c r="H387" s="12"/>
      <c r="I387" s="12"/>
      <c r="J387" s="12"/>
      <c r="K387" s="12"/>
      <c r="L387" s="35"/>
    </row>
    <row r="388" spans="1:12" x14ac:dyDescent="0.25">
      <c r="A388" s="11"/>
      <c r="B388" s="11"/>
      <c r="C388" s="11"/>
      <c r="D388" s="11"/>
      <c r="E388" s="11"/>
      <c r="F388" s="11"/>
      <c r="G388" s="39"/>
      <c r="H388" s="11"/>
      <c r="I388" s="11"/>
      <c r="J388" s="11"/>
      <c r="K388" s="11"/>
      <c r="L388" s="34"/>
    </row>
    <row r="389" spans="1:12" x14ac:dyDescent="0.25">
      <c r="A389" s="12"/>
      <c r="B389" s="12"/>
      <c r="C389" s="12"/>
      <c r="D389" s="12"/>
      <c r="E389" s="12"/>
      <c r="F389" s="12"/>
      <c r="G389" s="38"/>
      <c r="H389" s="12"/>
      <c r="I389" s="12"/>
      <c r="J389" s="12"/>
      <c r="K389" s="12"/>
      <c r="L389" s="35"/>
    </row>
    <row r="390" spans="1:12" x14ac:dyDescent="0.25">
      <c r="A390" s="11"/>
      <c r="B390" s="11"/>
      <c r="C390" s="11"/>
      <c r="D390" s="11"/>
      <c r="E390" s="11"/>
      <c r="F390" s="11"/>
      <c r="G390" s="39"/>
      <c r="H390" s="11"/>
      <c r="I390" s="11"/>
      <c r="J390" s="11"/>
      <c r="K390" s="11"/>
      <c r="L390" s="34"/>
    </row>
    <row r="391" spans="1:12" x14ac:dyDescent="0.25">
      <c r="A391" s="12"/>
      <c r="B391" s="12"/>
      <c r="C391" s="12"/>
      <c r="D391" s="12"/>
      <c r="E391" s="12"/>
      <c r="F391" s="12"/>
      <c r="G391" s="38"/>
      <c r="H391" s="12"/>
      <c r="I391" s="12"/>
      <c r="J391" s="12"/>
      <c r="K391" s="12"/>
      <c r="L391" s="35"/>
    </row>
    <row r="392" spans="1:12" x14ac:dyDescent="0.25">
      <c r="A392" s="11"/>
      <c r="B392" s="11"/>
      <c r="C392" s="11"/>
      <c r="D392" s="11"/>
      <c r="E392" s="11"/>
      <c r="F392" s="11"/>
      <c r="G392" s="39"/>
      <c r="H392" s="11"/>
      <c r="I392" s="11"/>
      <c r="J392" s="11"/>
      <c r="K392" s="11"/>
      <c r="L392" s="34"/>
    </row>
    <row r="393" spans="1:12" x14ac:dyDescent="0.25">
      <c r="A393" s="12"/>
      <c r="B393" s="12"/>
      <c r="C393" s="12"/>
      <c r="D393" s="12"/>
      <c r="E393" s="12"/>
      <c r="F393" s="12"/>
      <c r="G393" s="38"/>
      <c r="H393" s="12"/>
      <c r="I393" s="12"/>
      <c r="J393" s="12"/>
      <c r="K393" s="12"/>
      <c r="L393" s="35"/>
    </row>
    <row r="394" spans="1:12" x14ac:dyDescent="0.25">
      <c r="A394" s="11"/>
      <c r="B394" s="11"/>
      <c r="C394" s="11"/>
      <c r="D394" s="11"/>
      <c r="E394" s="11"/>
      <c r="F394" s="11"/>
      <c r="G394" s="39"/>
      <c r="H394" s="11"/>
      <c r="I394" s="11"/>
      <c r="J394" s="11"/>
      <c r="K394" s="11"/>
      <c r="L394" s="34"/>
    </row>
    <row r="395" spans="1:12" x14ac:dyDescent="0.25">
      <c r="A395" s="12"/>
      <c r="B395" s="12"/>
      <c r="C395" s="12"/>
      <c r="D395" s="12"/>
      <c r="E395" s="12"/>
      <c r="F395" s="12"/>
      <c r="G395" s="38"/>
      <c r="H395" s="12"/>
      <c r="I395" s="12"/>
      <c r="J395" s="12"/>
      <c r="K395" s="12"/>
      <c r="L395" s="35"/>
    </row>
    <row r="396" spans="1:12" x14ac:dyDescent="0.25">
      <c r="A396" s="11"/>
      <c r="B396" s="11"/>
      <c r="C396" s="11"/>
      <c r="D396" s="11"/>
      <c r="E396" s="11"/>
      <c r="F396" s="11"/>
      <c r="G396" s="39"/>
      <c r="H396" s="11"/>
      <c r="I396" s="11"/>
      <c r="J396" s="11"/>
      <c r="K396" s="11"/>
      <c r="L396" s="34"/>
    </row>
    <row r="397" spans="1:12" x14ac:dyDescent="0.25">
      <c r="A397" s="12"/>
      <c r="B397" s="12"/>
      <c r="C397" s="12"/>
      <c r="D397" s="12"/>
      <c r="E397" s="12"/>
      <c r="F397" s="12"/>
      <c r="G397" s="38"/>
      <c r="H397" s="12"/>
      <c r="I397" s="12"/>
      <c r="J397" s="12"/>
      <c r="K397" s="12"/>
      <c r="L397" s="35"/>
    </row>
    <row r="398" spans="1:12" x14ac:dyDescent="0.25">
      <c r="A398" s="11"/>
      <c r="B398" s="11"/>
      <c r="C398" s="11"/>
      <c r="D398" s="11"/>
      <c r="E398" s="11"/>
      <c r="F398" s="11"/>
      <c r="G398" s="39"/>
      <c r="H398" s="11"/>
      <c r="I398" s="11"/>
      <c r="J398" s="11"/>
      <c r="K398" s="11"/>
      <c r="L398" s="34"/>
    </row>
    <row r="399" spans="1:12" x14ac:dyDescent="0.25">
      <c r="A399" s="12"/>
      <c r="B399" s="12"/>
      <c r="C399" s="12"/>
      <c r="D399" s="12"/>
      <c r="E399" s="12"/>
      <c r="F399" s="12"/>
      <c r="G399" s="38"/>
      <c r="H399" s="12"/>
      <c r="I399" s="12"/>
      <c r="J399" s="12"/>
      <c r="K399" s="12"/>
      <c r="L399" s="35"/>
    </row>
    <row r="400" spans="1:12" x14ac:dyDescent="0.25">
      <c r="A400" s="11"/>
      <c r="B400" s="11"/>
      <c r="C400" s="11"/>
      <c r="D400" s="11"/>
      <c r="E400" s="11"/>
      <c r="F400" s="11"/>
      <c r="G400" s="39"/>
      <c r="H400" s="11"/>
      <c r="I400" s="11"/>
      <c r="J400" s="11"/>
      <c r="K400" s="11"/>
      <c r="L400" s="34"/>
    </row>
    <row r="401" spans="1:12" x14ac:dyDescent="0.25">
      <c r="A401" s="12"/>
      <c r="B401" s="12"/>
      <c r="C401" s="12"/>
      <c r="D401" s="12"/>
      <c r="E401" s="12"/>
      <c r="F401" s="12"/>
      <c r="G401" s="38"/>
      <c r="H401" s="12"/>
      <c r="I401" s="12"/>
      <c r="J401" s="12"/>
      <c r="K401" s="12"/>
      <c r="L401" s="35"/>
    </row>
    <row r="402" spans="1:12" x14ac:dyDescent="0.25">
      <c r="A402" s="11"/>
      <c r="B402" s="11"/>
      <c r="C402" s="11"/>
      <c r="D402" s="11"/>
      <c r="E402" s="11"/>
      <c r="F402" s="11"/>
      <c r="G402" s="39"/>
      <c r="H402" s="11"/>
      <c r="I402" s="11"/>
      <c r="J402" s="11"/>
      <c r="K402" s="11"/>
      <c r="L402" s="34"/>
    </row>
    <row r="403" spans="1:12" x14ac:dyDescent="0.25">
      <c r="A403" s="12"/>
      <c r="B403" s="12"/>
      <c r="C403" s="12"/>
      <c r="D403" s="12"/>
      <c r="E403" s="12"/>
      <c r="F403" s="12"/>
      <c r="G403" s="38"/>
      <c r="H403" s="12"/>
      <c r="I403" s="12"/>
      <c r="J403" s="12"/>
      <c r="K403" s="12"/>
      <c r="L403" s="35"/>
    </row>
    <row r="404" spans="1:12" x14ac:dyDescent="0.25">
      <c r="A404" s="11"/>
      <c r="B404" s="11"/>
      <c r="C404" s="11"/>
      <c r="D404" s="11"/>
      <c r="E404" s="11"/>
      <c r="F404" s="11"/>
      <c r="G404" s="39"/>
      <c r="H404" s="11"/>
      <c r="I404" s="11"/>
      <c r="J404" s="11"/>
      <c r="K404" s="11"/>
      <c r="L404" s="34"/>
    </row>
    <row r="405" spans="1:12" x14ac:dyDescent="0.25">
      <c r="A405" s="12"/>
      <c r="B405" s="12"/>
      <c r="C405" s="12"/>
      <c r="D405" s="12"/>
      <c r="E405" s="12"/>
      <c r="F405" s="12"/>
      <c r="G405" s="38"/>
      <c r="H405" s="12"/>
      <c r="I405" s="12"/>
      <c r="J405" s="12"/>
      <c r="K405" s="12"/>
      <c r="L405" s="35"/>
    </row>
    <row r="406" spans="1:12" x14ac:dyDescent="0.25">
      <c r="A406" s="11"/>
      <c r="B406" s="11"/>
      <c r="C406" s="11"/>
      <c r="D406" s="11"/>
      <c r="E406" s="11"/>
      <c r="F406" s="11"/>
      <c r="G406" s="39"/>
      <c r="H406" s="11"/>
      <c r="I406" s="11"/>
      <c r="J406" s="11"/>
      <c r="K406" s="11"/>
      <c r="L406" s="34"/>
    </row>
    <row r="407" spans="1:12" x14ac:dyDescent="0.25">
      <c r="A407" s="12"/>
      <c r="B407" s="12"/>
      <c r="C407" s="12"/>
      <c r="D407" s="12"/>
      <c r="E407" s="12"/>
      <c r="F407" s="12"/>
      <c r="G407" s="38"/>
      <c r="H407" s="12"/>
      <c r="I407" s="12"/>
      <c r="J407" s="12"/>
      <c r="K407" s="12"/>
      <c r="L407" s="35"/>
    </row>
    <row r="408" spans="1:12" x14ac:dyDescent="0.25">
      <c r="A408" s="11"/>
      <c r="B408" s="11"/>
      <c r="C408" s="11"/>
      <c r="D408" s="11"/>
      <c r="E408" s="11"/>
      <c r="F408" s="11"/>
      <c r="G408" s="39"/>
      <c r="H408" s="11"/>
      <c r="I408" s="11"/>
      <c r="J408" s="11"/>
      <c r="K408" s="11"/>
      <c r="L408" s="34"/>
    </row>
    <row r="409" spans="1:12" x14ac:dyDescent="0.25">
      <c r="A409" s="12"/>
      <c r="B409" s="12"/>
      <c r="C409" s="12"/>
      <c r="D409" s="12"/>
      <c r="E409" s="12"/>
      <c r="F409" s="12"/>
      <c r="G409" s="38"/>
      <c r="H409" s="12"/>
      <c r="I409" s="12"/>
      <c r="J409" s="12"/>
      <c r="K409" s="12"/>
      <c r="L409" s="35"/>
    </row>
    <row r="410" spans="1:12" x14ac:dyDescent="0.25">
      <c r="A410" s="11"/>
      <c r="B410" s="11"/>
      <c r="C410" s="11"/>
      <c r="D410" s="11"/>
      <c r="E410" s="11"/>
      <c r="F410" s="11"/>
      <c r="G410" s="39"/>
      <c r="H410" s="11"/>
      <c r="I410" s="11"/>
      <c r="J410" s="11"/>
      <c r="K410" s="11"/>
      <c r="L410" s="34"/>
    </row>
    <row r="411" spans="1:12" x14ac:dyDescent="0.25">
      <c r="A411" s="12"/>
      <c r="B411" s="12"/>
      <c r="C411" s="12"/>
      <c r="D411" s="12"/>
      <c r="E411" s="12"/>
      <c r="F411" s="12"/>
      <c r="G411" s="38"/>
      <c r="H411" s="12"/>
      <c r="I411" s="12"/>
      <c r="J411" s="12"/>
      <c r="K411" s="12"/>
      <c r="L411" s="35"/>
    </row>
    <row r="412" spans="1:12" x14ac:dyDescent="0.25">
      <c r="A412" s="11"/>
      <c r="B412" s="11"/>
      <c r="C412" s="11"/>
      <c r="D412" s="11"/>
      <c r="E412" s="11"/>
      <c r="F412" s="11"/>
      <c r="G412" s="39"/>
      <c r="H412" s="11"/>
      <c r="I412" s="11"/>
      <c r="J412" s="11"/>
      <c r="K412" s="11"/>
      <c r="L412" s="34"/>
    </row>
    <row r="413" spans="1:12" x14ac:dyDescent="0.25">
      <c r="A413" s="12"/>
      <c r="B413" s="12"/>
      <c r="C413" s="12"/>
      <c r="D413" s="12"/>
      <c r="E413" s="12"/>
      <c r="F413" s="12"/>
      <c r="G413" s="38"/>
      <c r="H413" s="12"/>
      <c r="I413" s="12"/>
      <c r="J413" s="12"/>
      <c r="K413" s="12"/>
      <c r="L413" s="35"/>
    </row>
    <row r="414" spans="1:12" x14ac:dyDescent="0.25">
      <c r="A414" s="11"/>
      <c r="B414" s="11"/>
      <c r="C414" s="11"/>
      <c r="D414" s="11"/>
      <c r="E414" s="11"/>
      <c r="F414" s="11"/>
      <c r="G414" s="39"/>
      <c r="H414" s="11"/>
      <c r="I414" s="11"/>
      <c r="J414" s="11"/>
      <c r="K414" s="11"/>
      <c r="L414" s="34"/>
    </row>
    <row r="415" spans="1:12" x14ac:dyDescent="0.25">
      <c r="A415" s="12"/>
      <c r="B415" s="12"/>
      <c r="C415" s="12"/>
      <c r="D415" s="12"/>
      <c r="E415" s="12"/>
      <c r="F415" s="12"/>
      <c r="G415" s="38"/>
      <c r="H415" s="12"/>
      <c r="I415" s="12"/>
      <c r="J415" s="12"/>
      <c r="K415" s="12"/>
      <c r="L415" s="35"/>
    </row>
    <row r="416" spans="1:12" x14ac:dyDescent="0.25">
      <c r="A416" s="11"/>
      <c r="B416" s="11"/>
      <c r="C416" s="11"/>
      <c r="D416" s="11"/>
      <c r="E416" s="11"/>
      <c r="F416" s="11"/>
      <c r="G416" s="39"/>
      <c r="H416" s="11"/>
      <c r="I416" s="11"/>
      <c r="J416" s="11"/>
      <c r="K416" s="11"/>
      <c r="L416" s="34"/>
    </row>
    <row r="417" spans="1:12" x14ac:dyDescent="0.25">
      <c r="A417" s="12"/>
      <c r="B417" s="12"/>
      <c r="C417" s="12"/>
      <c r="D417" s="12"/>
      <c r="E417" s="12"/>
      <c r="F417" s="12"/>
      <c r="G417" s="38"/>
      <c r="H417" s="12"/>
      <c r="I417" s="12"/>
      <c r="J417" s="12"/>
      <c r="K417" s="12"/>
      <c r="L417" s="35"/>
    </row>
    <row r="418" spans="1:12" x14ac:dyDescent="0.25">
      <c r="A418" s="11"/>
      <c r="B418" s="11"/>
      <c r="C418" s="11"/>
      <c r="D418" s="11"/>
      <c r="E418" s="11"/>
      <c r="F418" s="11"/>
      <c r="G418" s="39"/>
      <c r="H418" s="11"/>
      <c r="I418" s="11"/>
      <c r="J418" s="11"/>
      <c r="K418" s="11"/>
      <c r="L418" s="34"/>
    </row>
    <row r="419" spans="1:12" x14ac:dyDescent="0.25">
      <c r="A419" s="12"/>
      <c r="B419" s="12"/>
      <c r="C419" s="12"/>
      <c r="D419" s="12"/>
      <c r="E419" s="12"/>
      <c r="F419" s="12"/>
      <c r="G419" s="38"/>
      <c r="H419" s="12"/>
      <c r="I419" s="12"/>
      <c r="J419" s="12"/>
      <c r="K419" s="12"/>
      <c r="L419" s="35"/>
    </row>
    <row r="420" spans="1:12" x14ac:dyDescent="0.25">
      <c r="A420" s="11"/>
      <c r="B420" s="11"/>
      <c r="C420" s="11"/>
      <c r="D420" s="11"/>
      <c r="E420" s="11"/>
      <c r="F420" s="11"/>
      <c r="G420" s="39"/>
      <c r="H420" s="11"/>
      <c r="I420" s="11"/>
      <c r="J420" s="11"/>
      <c r="K420" s="11"/>
      <c r="L420" s="34"/>
    </row>
    <row r="421" spans="1:12" x14ac:dyDescent="0.25">
      <c r="A421" s="12"/>
      <c r="B421" s="12"/>
      <c r="C421" s="12"/>
      <c r="D421" s="12"/>
      <c r="E421" s="12"/>
      <c r="F421" s="12"/>
      <c r="G421" s="38"/>
      <c r="H421" s="12"/>
      <c r="I421" s="12"/>
      <c r="J421" s="12"/>
      <c r="K421" s="12"/>
      <c r="L421" s="35"/>
    </row>
    <row r="422" spans="1:12" x14ac:dyDescent="0.25">
      <c r="A422" s="11"/>
      <c r="B422" s="11"/>
      <c r="C422" s="11"/>
      <c r="D422" s="11"/>
      <c r="E422" s="11"/>
      <c r="F422" s="11"/>
      <c r="G422" s="39"/>
      <c r="H422" s="11"/>
      <c r="I422" s="11"/>
      <c r="J422" s="11"/>
      <c r="K422" s="11"/>
      <c r="L422" s="34"/>
    </row>
    <row r="423" spans="1:12" x14ac:dyDescent="0.25">
      <c r="A423" s="12"/>
      <c r="B423" s="12"/>
      <c r="C423" s="12"/>
      <c r="D423" s="12"/>
      <c r="E423" s="12"/>
      <c r="F423" s="12"/>
      <c r="G423" s="38"/>
      <c r="H423" s="12"/>
      <c r="I423" s="12"/>
      <c r="J423" s="12"/>
      <c r="K423" s="12"/>
      <c r="L423" s="35"/>
    </row>
    <row r="424" spans="1:12" x14ac:dyDescent="0.25">
      <c r="A424" s="11"/>
      <c r="B424" s="11"/>
      <c r="C424" s="11"/>
      <c r="D424" s="11"/>
      <c r="E424" s="11"/>
      <c r="F424" s="11"/>
      <c r="G424" s="39"/>
      <c r="H424" s="11"/>
      <c r="I424" s="11"/>
      <c r="J424" s="11"/>
      <c r="K424" s="11"/>
      <c r="L424" s="34"/>
    </row>
    <row r="425" spans="1:12" x14ac:dyDescent="0.25">
      <c r="A425" s="12"/>
      <c r="B425" s="12"/>
      <c r="C425" s="12"/>
      <c r="D425" s="12"/>
      <c r="E425" s="12"/>
      <c r="F425" s="12"/>
      <c r="G425" s="38"/>
      <c r="H425" s="12"/>
      <c r="I425" s="12"/>
      <c r="J425" s="12"/>
      <c r="K425" s="12"/>
      <c r="L425" s="35"/>
    </row>
    <row r="426" spans="1:12" x14ac:dyDescent="0.25">
      <c r="A426" s="11"/>
      <c r="B426" s="11"/>
      <c r="C426" s="11"/>
      <c r="D426" s="11"/>
      <c r="E426" s="11"/>
      <c r="F426" s="11"/>
      <c r="G426" s="39"/>
      <c r="H426" s="11"/>
      <c r="I426" s="11"/>
      <c r="J426" s="11"/>
      <c r="K426" s="11"/>
      <c r="L426" s="34"/>
    </row>
    <row r="427" spans="1:12" x14ac:dyDescent="0.25">
      <c r="A427" s="12"/>
      <c r="B427" s="12"/>
      <c r="C427" s="12"/>
      <c r="D427" s="12"/>
      <c r="E427" s="12"/>
      <c r="F427" s="12"/>
      <c r="G427" s="38"/>
      <c r="H427" s="12"/>
      <c r="I427" s="12"/>
      <c r="J427" s="12"/>
      <c r="K427" s="12"/>
      <c r="L427" s="35"/>
    </row>
    <row r="428" spans="1:12" x14ac:dyDescent="0.25">
      <c r="A428" s="11"/>
      <c r="B428" s="11"/>
      <c r="C428" s="11"/>
      <c r="D428" s="11"/>
      <c r="E428" s="11"/>
      <c r="F428" s="11"/>
      <c r="G428" s="39"/>
      <c r="H428" s="11"/>
      <c r="I428" s="11"/>
      <c r="J428" s="11"/>
      <c r="K428" s="11"/>
      <c r="L428" s="34"/>
    </row>
    <row r="429" spans="1:12" x14ac:dyDescent="0.25">
      <c r="A429" s="12"/>
      <c r="B429" s="12"/>
      <c r="C429" s="12"/>
      <c r="D429" s="12"/>
      <c r="E429" s="12"/>
      <c r="F429" s="12"/>
      <c r="G429" s="38"/>
      <c r="H429" s="12"/>
      <c r="I429" s="12"/>
      <c r="J429" s="12"/>
      <c r="K429" s="12"/>
      <c r="L429" s="35"/>
    </row>
    <row r="430" spans="1:12" x14ac:dyDescent="0.25">
      <c r="A430" s="11"/>
      <c r="B430" s="11"/>
      <c r="C430" s="11"/>
      <c r="D430" s="11"/>
      <c r="E430" s="11"/>
      <c r="F430" s="11"/>
      <c r="G430" s="39"/>
      <c r="H430" s="11"/>
      <c r="I430" s="11"/>
      <c r="J430" s="11"/>
      <c r="K430" s="11"/>
      <c r="L430" s="34"/>
    </row>
    <row r="431" spans="1:12" x14ac:dyDescent="0.25">
      <c r="A431" s="12"/>
      <c r="B431" s="12"/>
      <c r="C431" s="12"/>
      <c r="D431" s="12"/>
      <c r="E431" s="12"/>
      <c r="F431" s="12"/>
      <c r="G431" s="38"/>
      <c r="H431" s="12"/>
      <c r="I431" s="12"/>
      <c r="J431" s="12"/>
      <c r="K431" s="12"/>
      <c r="L431" s="35"/>
    </row>
    <row r="432" spans="1:12" x14ac:dyDescent="0.25">
      <c r="A432" s="11"/>
      <c r="B432" s="11"/>
      <c r="C432" s="11"/>
      <c r="D432" s="11"/>
      <c r="E432" s="11"/>
      <c r="F432" s="11"/>
      <c r="G432" s="39"/>
      <c r="H432" s="11"/>
      <c r="I432" s="11"/>
      <c r="J432" s="11"/>
      <c r="K432" s="11"/>
      <c r="L432" s="34"/>
    </row>
    <row r="433" spans="1:12" x14ac:dyDescent="0.25">
      <c r="A433" s="12"/>
      <c r="B433" s="12"/>
      <c r="C433" s="12"/>
      <c r="D433" s="12"/>
      <c r="E433" s="12"/>
      <c r="F433" s="12"/>
      <c r="G433" s="38"/>
      <c r="H433" s="12"/>
      <c r="I433" s="12"/>
      <c r="J433" s="12"/>
      <c r="K433" s="12"/>
      <c r="L433" s="35"/>
    </row>
    <row r="434" spans="1:12" x14ac:dyDescent="0.25">
      <c r="A434" s="11"/>
      <c r="B434" s="11"/>
      <c r="C434" s="11"/>
      <c r="D434" s="11"/>
      <c r="E434" s="11"/>
      <c r="F434" s="11"/>
      <c r="G434" s="39"/>
      <c r="H434" s="11"/>
      <c r="I434" s="11"/>
      <c r="J434" s="11"/>
      <c r="K434" s="11"/>
      <c r="L434" s="34"/>
    </row>
    <row r="435" spans="1:12" x14ac:dyDescent="0.25">
      <c r="A435" s="12"/>
      <c r="B435" s="12"/>
      <c r="C435" s="12"/>
      <c r="D435" s="12"/>
      <c r="E435" s="12"/>
      <c r="F435" s="12"/>
      <c r="G435" s="38"/>
      <c r="H435" s="12"/>
      <c r="I435" s="12"/>
      <c r="J435" s="12"/>
      <c r="K435" s="12"/>
      <c r="L435" s="35"/>
    </row>
    <row r="436" spans="1:12" x14ac:dyDescent="0.25">
      <c r="A436" s="11"/>
      <c r="B436" s="11"/>
      <c r="C436" s="11"/>
      <c r="D436" s="11"/>
      <c r="E436" s="11"/>
      <c r="F436" s="11"/>
      <c r="G436" s="39"/>
      <c r="H436" s="11"/>
      <c r="I436" s="11"/>
      <c r="J436" s="11"/>
      <c r="K436" s="11"/>
      <c r="L436" s="34"/>
    </row>
    <row r="437" spans="1:12" x14ac:dyDescent="0.25">
      <c r="A437" s="12"/>
      <c r="B437" s="12"/>
      <c r="C437" s="12"/>
      <c r="D437" s="12"/>
      <c r="E437" s="12"/>
      <c r="F437" s="12"/>
      <c r="G437" s="38"/>
      <c r="H437" s="12"/>
      <c r="I437" s="12"/>
      <c r="J437" s="12"/>
      <c r="K437" s="12"/>
      <c r="L437" s="35"/>
    </row>
    <row r="438" spans="1:12" x14ac:dyDescent="0.25">
      <c r="A438" s="11"/>
      <c r="B438" s="11"/>
      <c r="C438" s="11"/>
      <c r="D438" s="11"/>
      <c r="E438" s="11"/>
      <c r="F438" s="11"/>
      <c r="G438" s="39"/>
      <c r="H438" s="11"/>
      <c r="I438" s="11"/>
      <c r="J438" s="11"/>
      <c r="K438" s="11"/>
      <c r="L438" s="34"/>
    </row>
    <row r="439" spans="1:12" x14ac:dyDescent="0.25">
      <c r="A439" s="12"/>
      <c r="B439" s="12"/>
      <c r="C439" s="12"/>
      <c r="D439" s="12"/>
      <c r="E439" s="12"/>
      <c r="F439" s="12"/>
      <c r="G439" s="38"/>
      <c r="H439" s="12"/>
      <c r="I439" s="12"/>
      <c r="J439" s="12"/>
      <c r="K439" s="12"/>
      <c r="L439" s="35"/>
    </row>
    <row r="440" spans="1:12" x14ac:dyDescent="0.25">
      <c r="A440" s="11"/>
      <c r="B440" s="11"/>
      <c r="C440" s="11"/>
      <c r="D440" s="11"/>
      <c r="E440" s="11"/>
      <c r="F440" s="11"/>
      <c r="G440" s="39"/>
      <c r="H440" s="11"/>
      <c r="I440" s="11"/>
      <c r="J440" s="11"/>
      <c r="K440" s="11"/>
      <c r="L440" s="34"/>
    </row>
    <row r="441" spans="1:12" x14ac:dyDescent="0.25">
      <c r="A441" s="12"/>
      <c r="B441" s="12"/>
      <c r="C441" s="12"/>
      <c r="D441" s="12"/>
      <c r="E441" s="12"/>
      <c r="F441" s="12"/>
      <c r="G441" s="38"/>
      <c r="H441" s="12"/>
      <c r="I441" s="12"/>
      <c r="J441" s="12"/>
      <c r="K441" s="12"/>
      <c r="L441" s="35"/>
    </row>
    <row r="442" spans="1:12" x14ac:dyDescent="0.25">
      <c r="A442" s="11"/>
      <c r="B442" s="11"/>
      <c r="C442" s="11"/>
      <c r="D442" s="11"/>
      <c r="E442" s="11"/>
      <c r="F442" s="11"/>
      <c r="G442" s="39"/>
      <c r="H442" s="11"/>
      <c r="I442" s="11"/>
      <c r="J442" s="11"/>
      <c r="K442" s="11"/>
      <c r="L442" s="34"/>
    </row>
    <row r="443" spans="1:12" x14ac:dyDescent="0.25">
      <c r="A443" s="12"/>
      <c r="B443" s="12"/>
      <c r="C443" s="12"/>
      <c r="D443" s="12"/>
      <c r="E443" s="12"/>
      <c r="F443" s="12"/>
      <c r="G443" s="38"/>
      <c r="H443" s="12"/>
      <c r="I443" s="12"/>
      <c r="J443" s="12"/>
      <c r="K443" s="12"/>
      <c r="L443" s="35"/>
    </row>
    <row r="444" spans="1:12" x14ac:dyDescent="0.25">
      <c r="A444" s="11"/>
      <c r="B444" s="11"/>
      <c r="C444" s="11"/>
      <c r="D444" s="11"/>
      <c r="E444" s="11"/>
      <c r="F444" s="11"/>
      <c r="G444" s="39"/>
      <c r="H444" s="11"/>
      <c r="I444" s="11"/>
      <c r="J444" s="11"/>
      <c r="K444" s="11"/>
      <c r="L444" s="34"/>
    </row>
    <row r="445" spans="1:12" x14ac:dyDescent="0.25">
      <c r="A445" s="12"/>
      <c r="B445" s="12"/>
      <c r="C445" s="12"/>
      <c r="D445" s="12"/>
      <c r="E445" s="12"/>
      <c r="F445" s="12"/>
      <c r="G445" s="38"/>
      <c r="H445" s="12"/>
      <c r="I445" s="12"/>
      <c r="J445" s="12"/>
      <c r="K445" s="12"/>
      <c r="L445" s="35"/>
    </row>
    <row r="446" spans="1:12" x14ac:dyDescent="0.25">
      <c r="A446" s="11"/>
      <c r="B446" s="11"/>
      <c r="C446" s="11"/>
      <c r="D446" s="11"/>
      <c r="E446" s="11"/>
      <c r="F446" s="11"/>
      <c r="G446" s="39"/>
      <c r="H446" s="11"/>
      <c r="I446" s="11"/>
      <c r="J446" s="11"/>
      <c r="K446" s="11"/>
      <c r="L446" s="34"/>
    </row>
    <row r="447" spans="1:12" x14ac:dyDescent="0.25">
      <c r="A447" s="12"/>
      <c r="B447" s="12"/>
      <c r="C447" s="12"/>
      <c r="D447" s="12"/>
      <c r="E447" s="12"/>
      <c r="F447" s="12"/>
      <c r="G447" s="38"/>
      <c r="H447" s="12"/>
      <c r="I447" s="12"/>
      <c r="J447" s="12"/>
      <c r="K447" s="12"/>
      <c r="L447" s="35"/>
    </row>
    <row r="448" spans="1:12" x14ac:dyDescent="0.25">
      <c r="A448" s="11"/>
      <c r="B448" s="11"/>
      <c r="C448" s="11"/>
      <c r="D448" s="11"/>
      <c r="E448" s="11"/>
      <c r="F448" s="11"/>
      <c r="G448" s="39"/>
      <c r="H448" s="11"/>
      <c r="I448" s="11"/>
      <c r="J448" s="11"/>
      <c r="K448" s="11"/>
      <c r="L448" s="34"/>
    </row>
    <row r="449" spans="1:12" x14ac:dyDescent="0.25">
      <c r="A449" s="12"/>
      <c r="B449" s="12"/>
      <c r="C449" s="12"/>
      <c r="D449" s="12"/>
      <c r="E449" s="12"/>
      <c r="F449" s="12"/>
      <c r="G449" s="38"/>
      <c r="H449" s="12"/>
      <c r="I449" s="12"/>
      <c r="J449" s="12"/>
      <c r="K449" s="12"/>
      <c r="L449" s="35"/>
    </row>
    <row r="450" spans="1:12" x14ac:dyDescent="0.25">
      <c r="A450" s="11"/>
      <c r="B450" s="11"/>
      <c r="C450" s="11"/>
      <c r="D450" s="11"/>
      <c r="E450" s="11"/>
      <c r="F450" s="11"/>
      <c r="G450" s="39"/>
      <c r="H450" s="11"/>
      <c r="I450" s="11"/>
      <c r="J450" s="11"/>
      <c r="K450" s="11"/>
      <c r="L450" s="34"/>
    </row>
    <row r="451" spans="1:12" x14ac:dyDescent="0.25">
      <c r="A451" s="12"/>
      <c r="B451" s="12"/>
      <c r="C451" s="12"/>
      <c r="D451" s="12"/>
      <c r="E451" s="12"/>
      <c r="F451" s="12"/>
      <c r="G451" s="38"/>
      <c r="H451" s="12"/>
      <c r="I451" s="12"/>
      <c r="J451" s="12"/>
      <c r="K451" s="12"/>
      <c r="L451" s="35"/>
    </row>
    <row r="452" spans="1:12" x14ac:dyDescent="0.25">
      <c r="A452" s="11"/>
      <c r="B452" s="11"/>
      <c r="C452" s="11"/>
      <c r="D452" s="11"/>
      <c r="E452" s="11"/>
      <c r="F452" s="11"/>
      <c r="G452" s="39"/>
      <c r="H452" s="11"/>
      <c r="I452" s="11"/>
      <c r="J452" s="11"/>
      <c r="K452" s="11"/>
      <c r="L452" s="34"/>
    </row>
    <row r="453" spans="1:12" x14ac:dyDescent="0.25">
      <c r="A453" s="12"/>
      <c r="B453" s="12"/>
      <c r="C453" s="12"/>
      <c r="D453" s="12"/>
      <c r="E453" s="12"/>
      <c r="F453" s="12"/>
      <c r="G453" s="38"/>
      <c r="H453" s="12"/>
      <c r="I453" s="12"/>
      <c r="J453" s="12"/>
      <c r="K453" s="12"/>
      <c r="L453" s="35"/>
    </row>
    <row r="454" spans="1:12" x14ac:dyDescent="0.25">
      <c r="A454" s="11"/>
      <c r="B454" s="11"/>
      <c r="C454" s="11"/>
      <c r="D454" s="11"/>
      <c r="E454" s="11"/>
      <c r="F454" s="11"/>
      <c r="G454" s="39"/>
      <c r="H454" s="11"/>
      <c r="I454" s="11"/>
      <c r="J454" s="11"/>
      <c r="K454" s="11"/>
      <c r="L454" s="34"/>
    </row>
    <row r="455" spans="1:12" x14ac:dyDescent="0.25">
      <c r="A455" s="12"/>
      <c r="B455" s="12"/>
      <c r="C455" s="12"/>
      <c r="D455" s="12"/>
      <c r="E455" s="12"/>
      <c r="F455" s="12"/>
      <c r="G455" s="38"/>
      <c r="H455" s="12"/>
      <c r="I455" s="12"/>
      <c r="J455" s="12"/>
      <c r="K455" s="12"/>
      <c r="L455" s="35"/>
    </row>
    <row r="456" spans="1:12" x14ac:dyDescent="0.25">
      <c r="A456" s="11"/>
      <c r="B456" s="11"/>
      <c r="C456" s="11"/>
      <c r="D456" s="11"/>
      <c r="E456" s="11"/>
      <c r="F456" s="11"/>
      <c r="G456" s="39"/>
      <c r="H456" s="11"/>
      <c r="I456" s="11"/>
      <c r="J456" s="11"/>
      <c r="K456" s="11"/>
      <c r="L456" s="34"/>
    </row>
    <row r="457" spans="1:12" x14ac:dyDescent="0.25">
      <c r="A457" s="12"/>
      <c r="B457" s="12"/>
      <c r="C457" s="12"/>
      <c r="D457" s="12"/>
      <c r="E457" s="12"/>
      <c r="F457" s="12"/>
      <c r="G457" s="38"/>
      <c r="H457" s="12"/>
      <c r="I457" s="12"/>
      <c r="J457" s="12"/>
      <c r="K457" s="12"/>
      <c r="L457" s="35"/>
    </row>
    <row r="458" spans="1:12" x14ac:dyDescent="0.25">
      <c r="A458" s="11"/>
      <c r="B458" s="11"/>
      <c r="C458" s="11"/>
      <c r="D458" s="11"/>
      <c r="E458" s="11"/>
      <c r="F458" s="11"/>
      <c r="G458" s="39"/>
      <c r="H458" s="11"/>
      <c r="I458" s="11"/>
      <c r="J458" s="11"/>
      <c r="K458" s="11"/>
      <c r="L458" s="34"/>
    </row>
    <row r="459" spans="1:12" x14ac:dyDescent="0.25">
      <c r="A459" s="12"/>
      <c r="B459" s="12"/>
      <c r="C459" s="12"/>
      <c r="D459" s="12"/>
      <c r="E459" s="12"/>
      <c r="F459" s="12"/>
      <c r="G459" s="38"/>
      <c r="H459" s="12"/>
      <c r="I459" s="12"/>
      <c r="J459" s="12"/>
      <c r="K459" s="12"/>
      <c r="L459" s="35"/>
    </row>
    <row r="460" spans="1:12" x14ac:dyDescent="0.25">
      <c r="A460" s="11"/>
      <c r="B460" s="11"/>
      <c r="C460" s="11"/>
      <c r="D460" s="11"/>
      <c r="E460" s="11"/>
      <c r="F460" s="11"/>
      <c r="G460" s="39"/>
      <c r="H460" s="11"/>
      <c r="I460" s="11"/>
      <c r="J460" s="11"/>
      <c r="K460" s="11"/>
      <c r="L460" s="34"/>
    </row>
    <row r="461" spans="1:12" x14ac:dyDescent="0.25">
      <c r="A461" s="12"/>
      <c r="B461" s="12"/>
      <c r="C461" s="12"/>
      <c r="D461" s="12"/>
      <c r="E461" s="12"/>
      <c r="F461" s="12"/>
      <c r="G461" s="38"/>
      <c r="H461" s="12"/>
      <c r="I461" s="12"/>
      <c r="J461" s="12"/>
      <c r="K461" s="12"/>
      <c r="L461" s="35"/>
    </row>
    <row r="462" spans="1:12" x14ac:dyDescent="0.25">
      <c r="A462" s="11"/>
      <c r="B462" s="11"/>
      <c r="C462" s="11"/>
      <c r="D462" s="11"/>
      <c r="E462" s="11"/>
      <c r="F462" s="11"/>
      <c r="G462" s="39"/>
      <c r="H462" s="11"/>
      <c r="I462" s="11"/>
      <c r="J462" s="11"/>
      <c r="K462" s="11"/>
      <c r="L462" s="34"/>
    </row>
    <row r="463" spans="1:12" x14ac:dyDescent="0.25">
      <c r="A463" s="12"/>
      <c r="B463" s="12"/>
      <c r="C463" s="12"/>
      <c r="D463" s="12"/>
      <c r="E463" s="12"/>
      <c r="F463" s="12"/>
      <c r="G463" s="38"/>
      <c r="H463" s="12"/>
      <c r="I463" s="12"/>
      <c r="J463" s="12"/>
      <c r="K463" s="12"/>
      <c r="L463" s="35"/>
    </row>
    <row r="464" spans="1:12" x14ac:dyDescent="0.25">
      <c r="A464" s="11"/>
      <c r="B464" s="11"/>
      <c r="C464" s="11"/>
      <c r="D464" s="11"/>
      <c r="E464" s="11"/>
      <c r="F464" s="11"/>
      <c r="G464" s="39"/>
      <c r="H464" s="11"/>
      <c r="I464" s="11"/>
      <c r="J464" s="11"/>
      <c r="K464" s="11"/>
      <c r="L464" s="34"/>
    </row>
    <row r="465" spans="1:12" x14ac:dyDescent="0.25">
      <c r="A465" s="12"/>
      <c r="B465" s="12"/>
      <c r="C465" s="12"/>
      <c r="D465" s="12"/>
      <c r="E465" s="12"/>
      <c r="F465" s="12"/>
      <c r="G465" s="38"/>
      <c r="H465" s="12"/>
      <c r="I465" s="12"/>
      <c r="J465" s="12"/>
      <c r="K465" s="12"/>
      <c r="L465" s="35"/>
    </row>
    <row r="466" spans="1:12" x14ac:dyDescent="0.25">
      <c r="A466" s="11"/>
      <c r="B466" s="11"/>
      <c r="C466" s="11"/>
      <c r="D466" s="11"/>
      <c r="E466" s="11"/>
      <c r="F466" s="11"/>
      <c r="G466" s="39"/>
      <c r="H466" s="11"/>
      <c r="I466" s="11"/>
      <c r="J466" s="11"/>
      <c r="K466" s="11"/>
      <c r="L466" s="34"/>
    </row>
    <row r="467" spans="1:12" x14ac:dyDescent="0.25">
      <c r="A467" s="12"/>
      <c r="B467" s="12"/>
      <c r="C467" s="12"/>
      <c r="D467" s="12"/>
      <c r="E467" s="12"/>
      <c r="F467" s="12"/>
      <c r="G467" s="38"/>
      <c r="H467" s="12"/>
      <c r="I467" s="12"/>
      <c r="J467" s="12"/>
      <c r="K467" s="12"/>
      <c r="L467" s="35"/>
    </row>
    <row r="468" spans="1:12" x14ac:dyDescent="0.25">
      <c r="A468" s="11"/>
      <c r="B468" s="11"/>
      <c r="C468" s="11"/>
      <c r="D468" s="11"/>
      <c r="E468" s="11"/>
      <c r="F468" s="11"/>
      <c r="G468" s="39"/>
      <c r="H468" s="11"/>
      <c r="I468" s="11"/>
      <c r="J468" s="11"/>
      <c r="K468" s="11"/>
      <c r="L468" s="34"/>
    </row>
    <row r="469" spans="1:12" x14ac:dyDescent="0.25">
      <c r="A469" s="12"/>
      <c r="B469" s="12"/>
      <c r="C469" s="12"/>
      <c r="D469" s="12"/>
      <c r="E469" s="12"/>
      <c r="F469" s="12"/>
      <c r="G469" s="38"/>
      <c r="H469" s="12"/>
      <c r="I469" s="12"/>
      <c r="J469" s="12"/>
      <c r="K469" s="12"/>
      <c r="L469" s="35"/>
    </row>
    <row r="470" spans="1:12" x14ac:dyDescent="0.25">
      <c r="A470" s="11"/>
      <c r="B470" s="11"/>
      <c r="C470" s="11"/>
      <c r="D470" s="11"/>
      <c r="E470" s="11"/>
      <c r="F470" s="11"/>
      <c r="G470" s="39"/>
      <c r="H470" s="11"/>
      <c r="I470" s="11"/>
      <c r="J470" s="11"/>
      <c r="K470" s="11"/>
      <c r="L470" s="34"/>
    </row>
    <row r="471" spans="1:12" x14ac:dyDescent="0.25">
      <c r="A471" s="12"/>
      <c r="B471" s="12"/>
      <c r="C471" s="12"/>
      <c r="D471" s="12"/>
      <c r="E471" s="12"/>
      <c r="F471" s="12"/>
      <c r="G471" s="38"/>
      <c r="H471" s="12"/>
      <c r="I471" s="12"/>
      <c r="J471" s="12"/>
      <c r="K471" s="12"/>
      <c r="L471" s="35"/>
    </row>
    <row r="472" spans="1:12" x14ac:dyDescent="0.25">
      <c r="A472" s="11"/>
      <c r="B472" s="11"/>
      <c r="C472" s="11"/>
      <c r="D472" s="11"/>
      <c r="E472" s="11"/>
      <c r="F472" s="11"/>
      <c r="G472" s="39"/>
      <c r="H472" s="11"/>
      <c r="I472" s="11"/>
      <c r="J472" s="11"/>
      <c r="K472" s="11"/>
      <c r="L472" s="34"/>
    </row>
    <row r="473" spans="1:12" x14ac:dyDescent="0.25">
      <c r="A473" s="12"/>
      <c r="B473" s="12"/>
      <c r="C473" s="12"/>
      <c r="D473" s="12"/>
      <c r="E473" s="12"/>
      <c r="F473" s="12"/>
      <c r="G473" s="38"/>
      <c r="H473" s="12"/>
      <c r="I473" s="12"/>
      <c r="J473" s="12"/>
      <c r="K473" s="12"/>
      <c r="L473" s="35"/>
    </row>
    <row r="474" spans="1:12" x14ac:dyDescent="0.25">
      <c r="A474" s="11"/>
      <c r="B474" s="11"/>
      <c r="C474" s="11"/>
      <c r="D474" s="11"/>
      <c r="E474" s="11"/>
      <c r="F474" s="11"/>
      <c r="G474" s="39"/>
      <c r="H474" s="11"/>
      <c r="I474" s="11"/>
      <c r="J474" s="11"/>
      <c r="K474" s="11"/>
      <c r="L474" s="34"/>
    </row>
    <row r="475" spans="1:12" x14ac:dyDescent="0.25">
      <c r="A475" s="12"/>
      <c r="B475" s="12"/>
      <c r="C475" s="12"/>
      <c r="D475" s="12"/>
      <c r="E475" s="12"/>
      <c r="F475" s="12"/>
      <c r="G475" s="38"/>
      <c r="H475" s="12"/>
      <c r="I475" s="12"/>
      <c r="J475" s="12"/>
      <c r="K475" s="12"/>
      <c r="L475" s="35"/>
    </row>
    <row r="476" spans="1:12" x14ac:dyDescent="0.25">
      <c r="A476" s="11"/>
      <c r="B476" s="11"/>
      <c r="C476" s="11"/>
      <c r="D476" s="11"/>
      <c r="E476" s="11"/>
      <c r="F476" s="11"/>
      <c r="G476" s="39"/>
      <c r="H476" s="11"/>
      <c r="I476" s="11"/>
      <c r="J476" s="11"/>
      <c r="K476" s="11"/>
      <c r="L476" s="34"/>
    </row>
    <row r="477" spans="1:12" x14ac:dyDescent="0.25">
      <c r="A477" s="12"/>
      <c r="B477" s="12"/>
      <c r="C477" s="12"/>
      <c r="D477" s="12"/>
      <c r="E477" s="12"/>
      <c r="F477" s="12"/>
      <c r="G477" s="38"/>
      <c r="H477" s="12"/>
      <c r="I477" s="12"/>
      <c r="J477" s="12"/>
      <c r="K477" s="12"/>
      <c r="L477" s="35"/>
    </row>
    <row r="478" spans="1:12" x14ac:dyDescent="0.25">
      <c r="A478" s="11"/>
      <c r="B478" s="11"/>
      <c r="C478" s="11"/>
      <c r="D478" s="11"/>
      <c r="E478" s="11"/>
      <c r="F478" s="11"/>
      <c r="G478" s="39"/>
      <c r="H478" s="11"/>
      <c r="I478" s="11"/>
      <c r="J478" s="11"/>
      <c r="K478" s="11"/>
      <c r="L478" s="34"/>
    </row>
    <row r="479" spans="1:12" x14ac:dyDescent="0.25">
      <c r="A479" s="12"/>
      <c r="B479" s="12"/>
      <c r="C479" s="12"/>
      <c r="D479" s="12"/>
      <c r="E479" s="12"/>
      <c r="F479" s="12"/>
      <c r="G479" s="38"/>
      <c r="H479" s="12"/>
      <c r="I479" s="12"/>
      <c r="J479" s="12"/>
      <c r="K479" s="12"/>
      <c r="L479" s="35"/>
    </row>
    <row r="480" spans="1:12" x14ac:dyDescent="0.25">
      <c r="A480" s="11"/>
      <c r="B480" s="11"/>
      <c r="C480" s="11"/>
      <c r="D480" s="11"/>
      <c r="E480" s="11"/>
      <c r="F480" s="11"/>
      <c r="G480" s="39"/>
      <c r="H480" s="11"/>
      <c r="I480" s="11"/>
      <c r="J480" s="11"/>
      <c r="K480" s="11"/>
      <c r="L480" s="34"/>
    </row>
    <row r="481" spans="1:12" x14ac:dyDescent="0.25">
      <c r="A481" s="12"/>
      <c r="B481" s="12"/>
      <c r="C481" s="12"/>
      <c r="D481" s="12"/>
      <c r="E481" s="12"/>
      <c r="F481" s="12"/>
      <c r="G481" s="38"/>
      <c r="H481" s="12"/>
      <c r="I481" s="12"/>
      <c r="J481" s="12"/>
      <c r="K481" s="12"/>
      <c r="L481" s="35"/>
    </row>
    <row r="482" spans="1:12" x14ac:dyDescent="0.25">
      <c r="A482" s="11"/>
      <c r="B482" s="11"/>
      <c r="C482" s="11"/>
      <c r="D482" s="11"/>
      <c r="E482" s="11"/>
      <c r="F482" s="11"/>
      <c r="G482" s="39"/>
      <c r="H482" s="11"/>
      <c r="I482" s="11"/>
      <c r="J482" s="11"/>
      <c r="K482" s="11"/>
      <c r="L482" s="34"/>
    </row>
    <row r="483" spans="1:12" x14ac:dyDescent="0.25">
      <c r="A483" s="12"/>
      <c r="B483" s="12"/>
      <c r="C483" s="12"/>
      <c r="D483" s="12"/>
      <c r="E483" s="12"/>
      <c r="F483" s="12"/>
      <c r="G483" s="38"/>
      <c r="H483" s="12"/>
      <c r="I483" s="12"/>
      <c r="J483" s="12"/>
      <c r="K483" s="12"/>
      <c r="L483" s="35"/>
    </row>
    <row r="484" spans="1:12" x14ac:dyDescent="0.25">
      <c r="A484" s="11"/>
      <c r="B484" s="11"/>
      <c r="C484" s="11"/>
      <c r="D484" s="11"/>
      <c r="E484" s="11"/>
      <c r="F484" s="11"/>
      <c r="G484" s="39"/>
      <c r="H484" s="11"/>
      <c r="I484" s="11"/>
      <c r="J484" s="11"/>
      <c r="K484" s="11"/>
      <c r="L484" s="34"/>
    </row>
    <row r="485" spans="1:12" x14ac:dyDescent="0.25">
      <c r="A485" s="12"/>
      <c r="B485" s="12"/>
      <c r="C485" s="12"/>
      <c r="D485" s="12"/>
      <c r="E485" s="12"/>
      <c r="F485" s="12"/>
      <c r="G485" s="38"/>
      <c r="H485" s="12"/>
      <c r="I485" s="12"/>
      <c r="J485" s="12"/>
      <c r="K485" s="12"/>
      <c r="L485" s="35"/>
    </row>
    <row r="486" spans="1:12" x14ac:dyDescent="0.25">
      <c r="A486" s="11"/>
      <c r="B486" s="11"/>
      <c r="C486" s="11"/>
      <c r="D486" s="11"/>
      <c r="E486" s="11"/>
      <c r="F486" s="11"/>
      <c r="G486" s="39"/>
      <c r="H486" s="11"/>
      <c r="I486" s="11"/>
      <c r="J486" s="11"/>
      <c r="K486" s="11"/>
      <c r="L486" s="34"/>
    </row>
    <row r="487" spans="1:12" x14ac:dyDescent="0.25">
      <c r="A487" s="12"/>
      <c r="B487" s="12"/>
      <c r="C487" s="12"/>
      <c r="D487" s="12"/>
      <c r="E487" s="12"/>
      <c r="F487" s="12"/>
      <c r="G487" s="38"/>
      <c r="H487" s="12"/>
      <c r="I487" s="12"/>
      <c r="J487" s="12"/>
      <c r="K487" s="12"/>
      <c r="L487" s="35"/>
    </row>
    <row r="488" spans="1:12" x14ac:dyDescent="0.25">
      <c r="A488" s="11"/>
      <c r="B488" s="11"/>
      <c r="C488" s="11"/>
      <c r="D488" s="11"/>
      <c r="E488" s="11"/>
      <c r="F488" s="11"/>
      <c r="G488" s="39"/>
      <c r="H488" s="11"/>
      <c r="I488" s="11"/>
      <c r="J488" s="11"/>
      <c r="K488" s="11"/>
      <c r="L488" s="34"/>
    </row>
    <row r="489" spans="1:12" x14ac:dyDescent="0.25">
      <c r="A489" s="12"/>
      <c r="B489" s="12"/>
      <c r="C489" s="12"/>
      <c r="D489" s="12"/>
      <c r="E489" s="12"/>
      <c r="F489" s="12"/>
      <c r="G489" s="38"/>
      <c r="H489" s="12"/>
      <c r="I489" s="12"/>
      <c r="J489" s="12"/>
      <c r="K489" s="12"/>
      <c r="L489" s="35"/>
    </row>
    <row r="490" spans="1:12" x14ac:dyDescent="0.25">
      <c r="A490" s="11"/>
      <c r="B490" s="11"/>
      <c r="C490" s="11"/>
      <c r="D490" s="11"/>
      <c r="E490" s="11"/>
      <c r="F490" s="11"/>
      <c r="G490" s="39"/>
      <c r="H490" s="11"/>
      <c r="I490" s="11"/>
      <c r="J490" s="11"/>
      <c r="K490" s="11"/>
      <c r="L490" s="34"/>
    </row>
    <row r="491" spans="1:12" x14ac:dyDescent="0.25">
      <c r="A491" s="12"/>
      <c r="B491" s="12"/>
      <c r="C491" s="12"/>
      <c r="D491" s="12"/>
      <c r="E491" s="12"/>
      <c r="F491" s="12"/>
      <c r="G491" s="38"/>
      <c r="H491" s="12"/>
      <c r="I491" s="12"/>
      <c r="J491" s="12"/>
      <c r="K491" s="12"/>
      <c r="L491" s="35"/>
    </row>
    <row r="492" spans="1:12" x14ac:dyDescent="0.25">
      <c r="A492" s="11"/>
      <c r="B492" s="11"/>
      <c r="C492" s="11"/>
      <c r="D492" s="11"/>
      <c r="E492" s="11"/>
      <c r="F492" s="11"/>
      <c r="G492" s="39"/>
      <c r="H492" s="11"/>
      <c r="I492" s="11"/>
      <c r="J492" s="11"/>
      <c r="K492" s="11"/>
      <c r="L492" s="34"/>
    </row>
    <row r="493" spans="1:12" x14ac:dyDescent="0.25">
      <c r="A493" s="12"/>
      <c r="B493" s="12"/>
      <c r="C493" s="12"/>
      <c r="D493" s="12"/>
      <c r="E493" s="12"/>
      <c r="F493" s="12"/>
      <c r="G493" s="38"/>
      <c r="H493" s="12"/>
      <c r="I493" s="12"/>
      <c r="J493" s="12"/>
      <c r="K493" s="12"/>
      <c r="L493" s="35"/>
    </row>
    <row r="494" spans="1:12" x14ac:dyDescent="0.25">
      <c r="A494" s="11"/>
      <c r="B494" s="11"/>
      <c r="C494" s="11"/>
      <c r="D494" s="11"/>
      <c r="E494" s="11"/>
      <c r="F494" s="11"/>
      <c r="G494" s="39"/>
      <c r="H494" s="11"/>
      <c r="I494" s="11"/>
      <c r="J494" s="11"/>
      <c r="K494" s="11"/>
      <c r="L494" s="34"/>
    </row>
    <row r="495" spans="1:12" x14ac:dyDescent="0.25">
      <c r="A495" s="12"/>
      <c r="B495" s="12"/>
      <c r="C495" s="12"/>
      <c r="D495" s="12"/>
      <c r="E495" s="12"/>
      <c r="F495" s="12"/>
      <c r="G495" s="38"/>
      <c r="H495" s="12"/>
      <c r="I495" s="12"/>
      <c r="J495" s="12"/>
      <c r="K495" s="12"/>
      <c r="L495" s="35"/>
    </row>
    <row r="496" spans="1:12" x14ac:dyDescent="0.25">
      <c r="A496" s="11"/>
      <c r="B496" s="11"/>
      <c r="C496" s="11"/>
      <c r="D496" s="11"/>
      <c r="E496" s="11"/>
      <c r="F496" s="11"/>
      <c r="G496" s="39"/>
      <c r="H496" s="11"/>
      <c r="I496" s="11"/>
      <c r="J496" s="11"/>
      <c r="K496" s="11"/>
      <c r="L496" s="34"/>
    </row>
    <row r="497" spans="1:12" x14ac:dyDescent="0.25">
      <c r="A497" s="12"/>
      <c r="B497" s="12"/>
      <c r="C497" s="12"/>
      <c r="D497" s="12"/>
      <c r="E497" s="12"/>
      <c r="F497" s="12"/>
      <c r="G497" s="38"/>
      <c r="H497" s="12"/>
      <c r="I497" s="12"/>
      <c r="J497" s="12"/>
      <c r="K497" s="12"/>
      <c r="L497" s="35"/>
    </row>
    <row r="498" spans="1:12" x14ac:dyDescent="0.25">
      <c r="A498" s="11"/>
      <c r="B498" s="11"/>
      <c r="C498" s="11"/>
      <c r="D498" s="11"/>
      <c r="E498" s="11"/>
      <c r="F498" s="11"/>
      <c r="G498" s="39"/>
      <c r="H498" s="11"/>
      <c r="I498" s="11"/>
      <c r="J498" s="11"/>
      <c r="K498" s="11"/>
      <c r="L498" s="34"/>
    </row>
    <row r="499" spans="1:12" x14ac:dyDescent="0.25">
      <c r="A499" s="12"/>
      <c r="B499" s="12"/>
      <c r="C499" s="12"/>
      <c r="D499" s="12"/>
      <c r="E499" s="12"/>
      <c r="F499" s="12"/>
      <c r="G499" s="38"/>
      <c r="H499" s="12"/>
      <c r="I499" s="12"/>
      <c r="J499" s="12"/>
      <c r="K499" s="12"/>
      <c r="L499" s="35"/>
    </row>
    <row r="500" spans="1:12" x14ac:dyDescent="0.25">
      <c r="A500" s="11"/>
      <c r="B500" s="11"/>
      <c r="C500" s="11"/>
      <c r="D500" s="11"/>
      <c r="E500" s="11"/>
      <c r="F500" s="11"/>
      <c r="G500" s="39"/>
      <c r="H500" s="11"/>
      <c r="I500" s="11"/>
      <c r="J500" s="11"/>
      <c r="K500" s="11"/>
      <c r="L500" s="34"/>
    </row>
    <row r="501" spans="1:12" x14ac:dyDescent="0.25">
      <c r="A501" s="12"/>
      <c r="B501" s="12"/>
      <c r="C501" s="12"/>
      <c r="D501" s="12"/>
      <c r="E501" s="12"/>
      <c r="F501" s="12"/>
      <c r="G501" s="38"/>
      <c r="H501" s="12"/>
      <c r="I501" s="12"/>
      <c r="J501" s="12"/>
      <c r="K501" s="12"/>
      <c r="L501" s="35"/>
    </row>
    <row r="502" spans="1:12" x14ac:dyDescent="0.25">
      <c r="A502" s="11"/>
      <c r="B502" s="11"/>
      <c r="C502" s="11"/>
      <c r="D502" s="11"/>
      <c r="E502" s="11"/>
      <c r="F502" s="11"/>
      <c r="G502" s="39"/>
      <c r="H502" s="11"/>
      <c r="I502" s="11"/>
      <c r="J502" s="11"/>
      <c r="K502" s="11"/>
      <c r="L502" s="34"/>
    </row>
    <row r="503" spans="1:12" x14ac:dyDescent="0.25">
      <c r="A503" s="12"/>
      <c r="B503" s="12"/>
      <c r="C503" s="12"/>
      <c r="D503" s="12"/>
      <c r="E503" s="12"/>
      <c r="F503" s="12"/>
      <c r="G503" s="38"/>
      <c r="H503" s="12"/>
      <c r="I503" s="12"/>
      <c r="J503" s="12"/>
      <c r="K503" s="12"/>
      <c r="L503" s="35"/>
    </row>
    <row r="504" spans="1:12" x14ac:dyDescent="0.25">
      <c r="A504" s="11"/>
      <c r="B504" s="11"/>
      <c r="C504" s="11"/>
      <c r="D504" s="11"/>
      <c r="E504" s="11"/>
      <c r="F504" s="11"/>
      <c r="G504" s="39"/>
      <c r="H504" s="11"/>
      <c r="I504" s="11"/>
      <c r="J504" s="11"/>
      <c r="K504" s="11"/>
      <c r="L504" s="34"/>
    </row>
    <row r="505" spans="1:12" x14ac:dyDescent="0.25">
      <c r="A505" s="12"/>
      <c r="B505" s="12"/>
      <c r="C505" s="12"/>
      <c r="D505" s="12"/>
      <c r="E505" s="12"/>
      <c r="F505" s="12"/>
      <c r="G505" s="38"/>
      <c r="H505" s="12"/>
      <c r="I505" s="12"/>
      <c r="J505" s="12"/>
      <c r="K505" s="12"/>
      <c r="L505" s="35"/>
    </row>
    <row r="506" spans="1:12" x14ac:dyDescent="0.25">
      <c r="A506" s="11"/>
      <c r="B506" s="11"/>
      <c r="C506" s="11"/>
      <c r="D506" s="11"/>
      <c r="E506" s="11"/>
      <c r="F506" s="11"/>
      <c r="G506" s="39"/>
      <c r="H506" s="11"/>
      <c r="I506" s="11"/>
      <c r="J506" s="11"/>
      <c r="K506" s="11"/>
      <c r="L506" s="34"/>
    </row>
    <row r="507" spans="1:12" x14ac:dyDescent="0.25">
      <c r="A507" s="12"/>
      <c r="B507" s="12"/>
      <c r="C507" s="12"/>
      <c r="D507" s="12"/>
      <c r="E507" s="12"/>
      <c r="F507" s="12"/>
      <c r="G507" s="38"/>
      <c r="H507" s="12"/>
      <c r="I507" s="12"/>
      <c r="J507" s="12"/>
      <c r="K507" s="12"/>
      <c r="L507" s="35"/>
    </row>
    <row r="508" spans="1:12" x14ac:dyDescent="0.25">
      <c r="A508" s="11"/>
      <c r="B508" s="11"/>
      <c r="C508" s="11"/>
      <c r="D508" s="11"/>
      <c r="E508" s="11"/>
      <c r="F508" s="11"/>
      <c r="G508" s="39"/>
      <c r="H508" s="11"/>
      <c r="I508" s="11"/>
      <c r="J508" s="11"/>
      <c r="K508" s="11"/>
      <c r="L508" s="34"/>
    </row>
    <row r="509" spans="1:12" x14ac:dyDescent="0.25">
      <c r="A509" s="12"/>
      <c r="B509" s="12"/>
      <c r="C509" s="12"/>
      <c r="D509" s="12"/>
      <c r="E509" s="12"/>
      <c r="F509" s="12"/>
      <c r="G509" s="38"/>
      <c r="H509" s="12"/>
      <c r="I509" s="12"/>
      <c r="J509" s="12"/>
      <c r="K509" s="12"/>
      <c r="L509" s="35"/>
    </row>
    <row r="510" spans="1:12" x14ac:dyDescent="0.25">
      <c r="A510" s="11"/>
      <c r="B510" s="11"/>
      <c r="C510" s="11"/>
      <c r="D510" s="11"/>
      <c r="E510" s="11"/>
      <c r="F510" s="11"/>
      <c r="G510" s="39"/>
      <c r="H510" s="11"/>
      <c r="I510" s="11"/>
      <c r="J510" s="11"/>
      <c r="K510" s="11"/>
      <c r="L510" s="34"/>
    </row>
    <row r="511" spans="1:12" x14ac:dyDescent="0.25">
      <c r="A511" s="12"/>
      <c r="B511" s="12"/>
      <c r="C511" s="12"/>
      <c r="D511" s="12"/>
      <c r="E511" s="12"/>
      <c r="F511" s="12"/>
      <c r="G511" s="38"/>
      <c r="H511" s="12"/>
      <c r="I511" s="12"/>
      <c r="J511" s="12"/>
      <c r="K511" s="12"/>
      <c r="L511" s="35"/>
    </row>
    <row r="512" spans="1:12" x14ac:dyDescent="0.25">
      <c r="A512" s="11"/>
      <c r="B512" s="11"/>
      <c r="C512" s="11"/>
      <c r="D512" s="11"/>
      <c r="E512" s="11"/>
      <c r="F512" s="11"/>
      <c r="G512" s="39"/>
      <c r="H512" s="11"/>
      <c r="I512" s="11"/>
      <c r="J512" s="11"/>
      <c r="K512" s="11"/>
      <c r="L512" s="34"/>
    </row>
    <row r="513" spans="1:12" x14ac:dyDescent="0.25">
      <c r="A513" s="12"/>
      <c r="B513" s="12"/>
      <c r="C513" s="12"/>
      <c r="D513" s="12"/>
      <c r="E513" s="12"/>
      <c r="F513" s="12"/>
      <c r="G513" s="38"/>
      <c r="H513" s="12"/>
      <c r="I513" s="12"/>
      <c r="J513" s="12"/>
      <c r="K513" s="12"/>
      <c r="L513" s="35"/>
    </row>
    <row r="514" spans="1:12" x14ac:dyDescent="0.25">
      <c r="A514" s="11"/>
      <c r="B514" s="11"/>
      <c r="C514" s="11"/>
      <c r="D514" s="11"/>
      <c r="E514" s="11"/>
      <c r="F514" s="11"/>
      <c r="G514" s="39"/>
      <c r="H514" s="11"/>
      <c r="I514" s="11"/>
      <c r="J514" s="11"/>
      <c r="K514" s="11"/>
      <c r="L514" s="34"/>
    </row>
    <row r="515" spans="1:12" x14ac:dyDescent="0.25">
      <c r="A515" s="12"/>
      <c r="B515" s="12"/>
      <c r="C515" s="12"/>
      <c r="D515" s="12"/>
      <c r="E515" s="12"/>
      <c r="F515" s="12"/>
      <c r="G515" s="38"/>
      <c r="H515" s="12"/>
      <c r="I515" s="12"/>
      <c r="J515" s="12"/>
      <c r="K515" s="12"/>
      <c r="L515" s="35"/>
    </row>
    <row r="516" spans="1:12" x14ac:dyDescent="0.25">
      <c r="A516" s="11"/>
      <c r="B516" s="11"/>
      <c r="C516" s="11"/>
      <c r="D516" s="11"/>
      <c r="E516" s="11"/>
      <c r="F516" s="11"/>
      <c r="G516" s="39"/>
      <c r="H516" s="11"/>
      <c r="I516" s="11"/>
      <c r="J516" s="11"/>
      <c r="K516" s="11"/>
      <c r="L516" s="34"/>
    </row>
    <row r="517" spans="1:12" x14ac:dyDescent="0.25">
      <c r="A517" s="12"/>
      <c r="B517" s="12"/>
      <c r="C517" s="12"/>
      <c r="D517" s="12"/>
      <c r="E517" s="12"/>
      <c r="F517" s="12"/>
      <c r="G517" s="38"/>
      <c r="H517" s="12"/>
      <c r="I517" s="12"/>
      <c r="J517" s="12"/>
      <c r="K517" s="12"/>
      <c r="L517" s="35"/>
    </row>
    <row r="518" spans="1:12" x14ac:dyDescent="0.25">
      <c r="A518" s="11"/>
      <c r="B518" s="11"/>
      <c r="C518" s="11"/>
      <c r="D518" s="11"/>
      <c r="E518" s="11"/>
      <c r="F518" s="11"/>
      <c r="G518" s="39"/>
      <c r="H518" s="11"/>
      <c r="I518" s="11"/>
      <c r="J518" s="11"/>
      <c r="K518" s="11"/>
      <c r="L518" s="34"/>
    </row>
    <row r="519" spans="1:12" x14ac:dyDescent="0.25">
      <c r="A519" s="12"/>
      <c r="B519" s="12"/>
      <c r="C519" s="12"/>
      <c r="D519" s="12"/>
      <c r="E519" s="12"/>
      <c r="F519" s="12"/>
      <c r="G519" s="38"/>
      <c r="H519" s="12"/>
      <c r="I519" s="12"/>
      <c r="J519" s="12"/>
      <c r="K519" s="12"/>
      <c r="L519" s="35"/>
    </row>
    <row r="520" spans="1:12" x14ac:dyDescent="0.25">
      <c r="A520" s="11"/>
      <c r="B520" s="11"/>
      <c r="C520" s="11"/>
      <c r="D520" s="11"/>
      <c r="E520" s="11"/>
      <c r="F520" s="11"/>
      <c r="G520" s="39"/>
      <c r="H520" s="11"/>
      <c r="I520" s="11"/>
      <c r="J520" s="11"/>
      <c r="K520" s="11"/>
      <c r="L520" s="34"/>
    </row>
    <row r="521" spans="1:12" x14ac:dyDescent="0.25">
      <c r="A521" s="12"/>
      <c r="B521" s="12"/>
      <c r="C521" s="12"/>
      <c r="D521" s="12"/>
      <c r="E521" s="12"/>
      <c r="F521" s="12"/>
      <c r="G521" s="38"/>
      <c r="H521" s="12"/>
      <c r="I521" s="12"/>
      <c r="J521" s="12"/>
      <c r="K521" s="12"/>
      <c r="L521" s="35"/>
    </row>
    <row r="522" spans="1:12" x14ac:dyDescent="0.25">
      <c r="A522" s="11"/>
      <c r="B522" s="11"/>
      <c r="C522" s="11"/>
      <c r="D522" s="11"/>
      <c r="E522" s="11"/>
      <c r="F522" s="11"/>
      <c r="G522" s="39"/>
      <c r="H522" s="11"/>
      <c r="I522" s="11"/>
      <c r="J522" s="11"/>
      <c r="K522" s="11"/>
      <c r="L522" s="34"/>
    </row>
    <row r="523" spans="1:12" x14ac:dyDescent="0.25">
      <c r="A523" s="12"/>
      <c r="B523" s="12"/>
      <c r="C523" s="12"/>
      <c r="D523" s="12"/>
      <c r="E523" s="12"/>
      <c r="F523" s="12"/>
      <c r="G523" s="38"/>
      <c r="H523" s="12"/>
      <c r="I523" s="12"/>
      <c r="J523" s="12"/>
      <c r="K523" s="12"/>
      <c r="L523" s="35"/>
    </row>
    <row r="524" spans="1:12" x14ac:dyDescent="0.25">
      <c r="A524" s="11"/>
      <c r="B524" s="11"/>
      <c r="C524" s="11"/>
      <c r="D524" s="11"/>
      <c r="E524" s="11"/>
      <c r="F524" s="11"/>
      <c r="G524" s="39"/>
      <c r="H524" s="11"/>
      <c r="I524" s="11"/>
      <c r="J524" s="11"/>
      <c r="K524" s="11"/>
      <c r="L524" s="34"/>
    </row>
    <row r="525" spans="1:12" x14ac:dyDescent="0.25">
      <c r="A525" s="12"/>
      <c r="B525" s="12"/>
      <c r="C525" s="12"/>
      <c r="D525" s="12"/>
      <c r="E525" s="12"/>
      <c r="F525" s="12"/>
      <c r="G525" s="38"/>
      <c r="H525" s="12"/>
      <c r="I525" s="12"/>
      <c r="J525" s="12"/>
      <c r="K525" s="12"/>
      <c r="L525" s="35"/>
    </row>
    <row r="526" spans="1:12" x14ac:dyDescent="0.25">
      <c r="A526" s="11"/>
      <c r="B526" s="11"/>
      <c r="C526" s="11"/>
      <c r="D526" s="11"/>
      <c r="E526" s="11"/>
      <c r="F526" s="11"/>
      <c r="G526" s="39"/>
      <c r="H526" s="11"/>
      <c r="I526" s="11"/>
      <c r="J526" s="11"/>
      <c r="K526" s="11"/>
      <c r="L526" s="34"/>
    </row>
    <row r="527" spans="1:12" x14ac:dyDescent="0.25">
      <c r="A527" s="12"/>
      <c r="B527" s="12"/>
      <c r="C527" s="12"/>
      <c r="D527" s="12"/>
      <c r="E527" s="12"/>
      <c r="F527" s="12"/>
      <c r="G527" s="38"/>
      <c r="H527" s="12"/>
      <c r="I527" s="12"/>
      <c r="J527" s="12"/>
      <c r="K527" s="12"/>
      <c r="L527" s="35"/>
    </row>
    <row r="528" spans="1:12" x14ac:dyDescent="0.25">
      <c r="A528" s="11"/>
      <c r="B528" s="11"/>
      <c r="C528" s="11"/>
      <c r="D528" s="11"/>
      <c r="E528" s="11"/>
      <c r="F528" s="11"/>
      <c r="G528" s="39"/>
      <c r="H528" s="11"/>
      <c r="I528" s="11"/>
      <c r="J528" s="11"/>
      <c r="K528" s="11"/>
      <c r="L528" s="34"/>
    </row>
    <row r="529" spans="1:12" x14ac:dyDescent="0.25">
      <c r="A529" s="12"/>
      <c r="B529" s="12"/>
      <c r="C529" s="12"/>
      <c r="D529" s="12"/>
      <c r="E529" s="12"/>
      <c r="F529" s="12"/>
      <c r="G529" s="38"/>
      <c r="H529" s="12"/>
      <c r="I529" s="12"/>
      <c r="J529" s="12"/>
      <c r="K529" s="12"/>
      <c r="L529" s="35"/>
    </row>
    <row r="530" spans="1:12" x14ac:dyDescent="0.25">
      <c r="A530" s="11"/>
      <c r="B530" s="11"/>
      <c r="C530" s="11"/>
      <c r="D530" s="11"/>
      <c r="E530" s="11"/>
      <c r="F530" s="11"/>
      <c r="G530" s="39"/>
      <c r="H530" s="11"/>
      <c r="I530" s="11"/>
      <c r="J530" s="11"/>
      <c r="K530" s="11"/>
      <c r="L530" s="34"/>
    </row>
    <row r="531" spans="1:12" x14ac:dyDescent="0.25">
      <c r="A531" s="12"/>
      <c r="B531" s="12"/>
      <c r="C531" s="12"/>
      <c r="D531" s="12"/>
      <c r="E531" s="12"/>
      <c r="F531" s="12"/>
      <c r="G531" s="38"/>
      <c r="H531" s="12"/>
      <c r="I531" s="12"/>
      <c r="J531" s="12"/>
      <c r="K531" s="12"/>
      <c r="L531" s="35"/>
    </row>
    <row r="532" spans="1:12" x14ac:dyDescent="0.25">
      <c r="A532" s="11"/>
      <c r="B532" s="11"/>
      <c r="C532" s="11"/>
      <c r="D532" s="11"/>
      <c r="E532" s="11"/>
      <c r="F532" s="11"/>
      <c r="G532" s="39"/>
      <c r="H532" s="11"/>
      <c r="I532" s="11"/>
      <c r="J532" s="11"/>
      <c r="K532" s="11"/>
      <c r="L532" s="34"/>
    </row>
    <row r="533" spans="1:12" x14ac:dyDescent="0.25">
      <c r="A533" s="12"/>
      <c r="B533" s="12"/>
      <c r="C533" s="12"/>
      <c r="D533" s="12"/>
      <c r="E533" s="12"/>
      <c r="F533" s="12"/>
      <c r="G533" s="38"/>
      <c r="H533" s="12"/>
      <c r="I533" s="12"/>
      <c r="J533" s="12"/>
      <c r="K533" s="12"/>
      <c r="L533" s="35"/>
    </row>
    <row r="534" spans="1:12" x14ac:dyDescent="0.25">
      <c r="A534" s="11"/>
      <c r="B534" s="11"/>
      <c r="C534" s="11"/>
      <c r="D534" s="11"/>
      <c r="E534" s="11"/>
      <c r="F534" s="11"/>
      <c r="G534" s="39"/>
      <c r="H534" s="11"/>
      <c r="I534" s="11"/>
      <c r="J534" s="11"/>
      <c r="K534" s="11"/>
      <c r="L534" s="34"/>
    </row>
    <row r="535" spans="1:12" x14ac:dyDescent="0.25">
      <c r="A535" s="12"/>
      <c r="B535" s="12"/>
      <c r="C535" s="12"/>
      <c r="D535" s="12"/>
      <c r="E535" s="12"/>
      <c r="F535" s="12"/>
      <c r="G535" s="38"/>
      <c r="H535" s="12"/>
      <c r="I535" s="12"/>
      <c r="J535" s="12"/>
      <c r="K535" s="12"/>
      <c r="L535" s="35"/>
    </row>
    <row r="536" spans="1:12" x14ac:dyDescent="0.25">
      <c r="A536" s="11"/>
      <c r="B536" s="11"/>
      <c r="C536" s="11"/>
      <c r="D536" s="11"/>
      <c r="E536" s="11"/>
      <c r="F536" s="11"/>
      <c r="G536" s="39"/>
      <c r="H536" s="11"/>
      <c r="I536" s="11"/>
      <c r="J536" s="11"/>
      <c r="K536" s="11"/>
      <c r="L536" s="34"/>
    </row>
    <row r="537" spans="1:12" x14ac:dyDescent="0.25">
      <c r="A537" s="12"/>
      <c r="B537" s="12"/>
      <c r="C537" s="12"/>
      <c r="D537" s="12"/>
      <c r="E537" s="12"/>
      <c r="F537" s="12"/>
      <c r="G537" s="38"/>
      <c r="H537" s="12"/>
      <c r="I537" s="12"/>
      <c r="J537" s="12"/>
      <c r="K537" s="12"/>
      <c r="L537" s="35"/>
    </row>
    <row r="538" spans="1:12" x14ac:dyDescent="0.25">
      <c r="A538" s="11"/>
      <c r="B538" s="11"/>
      <c r="C538" s="11"/>
      <c r="D538" s="11"/>
      <c r="E538" s="11"/>
      <c r="F538" s="11"/>
      <c r="G538" s="39"/>
      <c r="H538" s="11"/>
      <c r="I538" s="11"/>
      <c r="J538" s="11"/>
      <c r="K538" s="11"/>
      <c r="L538" s="34"/>
    </row>
    <row r="539" spans="1:12" x14ac:dyDescent="0.25">
      <c r="A539" s="12"/>
      <c r="B539" s="12"/>
      <c r="C539" s="12"/>
      <c r="D539" s="12"/>
      <c r="E539" s="12"/>
      <c r="F539" s="12"/>
      <c r="G539" s="38"/>
      <c r="H539" s="12"/>
      <c r="I539" s="12"/>
      <c r="J539" s="12"/>
      <c r="K539" s="12"/>
      <c r="L539" s="35"/>
    </row>
    <row r="540" spans="1:12" x14ac:dyDescent="0.25">
      <c r="A540" s="11"/>
      <c r="B540" s="11"/>
      <c r="C540" s="11"/>
      <c r="D540" s="11"/>
      <c r="E540" s="11"/>
      <c r="F540" s="11"/>
      <c r="G540" s="39"/>
      <c r="H540" s="11"/>
      <c r="I540" s="11"/>
      <c r="J540" s="11"/>
      <c r="K540" s="11"/>
      <c r="L540" s="34"/>
    </row>
    <row r="541" spans="1:12" x14ac:dyDescent="0.25">
      <c r="A541" s="12"/>
      <c r="B541" s="12"/>
      <c r="C541" s="12"/>
      <c r="D541" s="12"/>
      <c r="E541" s="12"/>
      <c r="F541" s="12"/>
      <c r="G541" s="38"/>
      <c r="H541" s="12"/>
      <c r="I541" s="12"/>
      <c r="J541" s="12"/>
      <c r="K541" s="12"/>
      <c r="L541" s="35"/>
    </row>
    <row r="542" spans="1:12" x14ac:dyDescent="0.25">
      <c r="A542" s="11"/>
      <c r="B542" s="11"/>
      <c r="C542" s="11"/>
      <c r="D542" s="11"/>
      <c r="E542" s="11"/>
      <c r="F542" s="11"/>
      <c r="G542" s="39"/>
      <c r="H542" s="11"/>
      <c r="I542" s="11"/>
      <c r="J542" s="11"/>
      <c r="K542" s="11"/>
      <c r="L542" s="34"/>
    </row>
    <row r="543" spans="1:12" x14ac:dyDescent="0.25">
      <c r="A543" s="12"/>
      <c r="B543" s="12"/>
      <c r="C543" s="12"/>
      <c r="D543" s="12"/>
      <c r="E543" s="12"/>
      <c r="F543" s="12"/>
      <c r="G543" s="38"/>
      <c r="H543" s="12"/>
      <c r="I543" s="12"/>
      <c r="J543" s="12"/>
      <c r="K543" s="12"/>
      <c r="L543" s="35"/>
    </row>
    <row r="544" spans="1:12" x14ac:dyDescent="0.25">
      <c r="A544" s="11"/>
      <c r="B544" s="11"/>
      <c r="C544" s="11"/>
      <c r="D544" s="11"/>
      <c r="E544" s="11"/>
      <c r="F544" s="11"/>
      <c r="G544" s="39"/>
      <c r="H544" s="11"/>
      <c r="I544" s="11"/>
      <c r="J544" s="11"/>
      <c r="K544" s="11"/>
      <c r="L544" s="34"/>
    </row>
    <row r="545" spans="1:12" x14ac:dyDescent="0.25">
      <c r="A545" s="12"/>
      <c r="B545" s="12"/>
      <c r="C545" s="12"/>
      <c r="D545" s="12"/>
      <c r="E545" s="12"/>
      <c r="F545" s="12"/>
      <c r="G545" s="38"/>
      <c r="H545" s="12"/>
      <c r="I545" s="12"/>
      <c r="J545" s="12"/>
      <c r="K545" s="12"/>
      <c r="L545" s="35"/>
    </row>
    <row r="546" spans="1:12" x14ac:dyDescent="0.25">
      <c r="A546" s="11"/>
      <c r="B546" s="11"/>
      <c r="C546" s="11"/>
      <c r="D546" s="11"/>
      <c r="E546" s="11"/>
      <c r="F546" s="11"/>
      <c r="G546" s="39"/>
      <c r="H546" s="11"/>
      <c r="I546" s="11"/>
      <c r="J546" s="11"/>
      <c r="K546" s="11"/>
      <c r="L546" s="34"/>
    </row>
    <row r="547" spans="1:12" x14ac:dyDescent="0.25">
      <c r="A547" s="12"/>
      <c r="B547" s="12"/>
      <c r="C547" s="12"/>
      <c r="D547" s="12"/>
      <c r="E547" s="12"/>
      <c r="F547" s="12"/>
      <c r="G547" s="38"/>
      <c r="H547" s="12"/>
      <c r="I547" s="12"/>
      <c r="J547" s="12"/>
      <c r="K547" s="12"/>
      <c r="L547" s="35"/>
    </row>
    <row r="548" spans="1:12" x14ac:dyDescent="0.25">
      <c r="A548" s="11"/>
      <c r="B548" s="11"/>
      <c r="C548" s="11"/>
      <c r="D548" s="11"/>
      <c r="E548" s="11"/>
      <c r="F548" s="11"/>
      <c r="G548" s="39"/>
      <c r="H548" s="11"/>
      <c r="I548" s="11"/>
      <c r="J548" s="11"/>
      <c r="K548" s="11"/>
      <c r="L548" s="34"/>
    </row>
    <row r="549" spans="1:12" x14ac:dyDescent="0.25">
      <c r="A549" s="12"/>
      <c r="B549" s="12"/>
      <c r="C549" s="12"/>
      <c r="D549" s="12"/>
      <c r="E549" s="12"/>
      <c r="F549" s="12"/>
      <c r="G549" s="38"/>
      <c r="H549" s="12"/>
      <c r="I549" s="12"/>
      <c r="J549" s="12"/>
      <c r="K549" s="12"/>
      <c r="L549" s="35"/>
    </row>
    <row r="550" spans="1:12" x14ac:dyDescent="0.25">
      <c r="A550" s="11"/>
      <c r="B550" s="11"/>
      <c r="C550" s="11"/>
      <c r="D550" s="11"/>
      <c r="E550" s="11"/>
      <c r="F550" s="11"/>
      <c r="G550" s="39"/>
      <c r="H550" s="11"/>
      <c r="I550" s="11"/>
      <c r="J550" s="11"/>
      <c r="K550" s="11"/>
      <c r="L550" s="34"/>
    </row>
    <row r="551" spans="1:12" x14ac:dyDescent="0.25">
      <c r="A551" s="12"/>
      <c r="B551" s="12"/>
      <c r="C551" s="12"/>
      <c r="D551" s="12"/>
      <c r="E551" s="12"/>
      <c r="F551" s="12"/>
      <c r="G551" s="38"/>
      <c r="H551" s="12"/>
      <c r="I551" s="12"/>
      <c r="J551" s="12"/>
      <c r="K551" s="12"/>
      <c r="L551" s="35"/>
    </row>
    <row r="552" spans="1:12" x14ac:dyDescent="0.25">
      <c r="A552" s="11"/>
      <c r="B552" s="11"/>
      <c r="C552" s="11"/>
      <c r="D552" s="11"/>
      <c r="E552" s="11"/>
      <c r="F552" s="11"/>
      <c r="G552" s="39"/>
      <c r="H552" s="11"/>
      <c r="I552" s="11"/>
      <c r="J552" s="11"/>
      <c r="K552" s="11"/>
      <c r="L552" s="34"/>
    </row>
    <row r="553" spans="1:12" x14ac:dyDescent="0.25">
      <c r="A553" s="12"/>
      <c r="B553" s="12"/>
      <c r="C553" s="12"/>
      <c r="D553" s="12"/>
      <c r="E553" s="12"/>
      <c r="F553" s="12"/>
      <c r="G553" s="38"/>
      <c r="H553" s="12"/>
      <c r="I553" s="12"/>
      <c r="J553" s="12"/>
      <c r="K553" s="12"/>
      <c r="L553" s="35"/>
    </row>
    <row r="554" spans="1:12" x14ac:dyDescent="0.25">
      <c r="A554" s="11"/>
      <c r="B554" s="11"/>
      <c r="C554" s="11"/>
      <c r="D554" s="11"/>
      <c r="E554" s="11"/>
      <c r="F554" s="11"/>
      <c r="G554" s="39"/>
      <c r="H554" s="11"/>
      <c r="I554" s="11"/>
      <c r="J554" s="11"/>
      <c r="K554" s="11"/>
      <c r="L554" s="34"/>
    </row>
    <row r="555" spans="1:12" x14ac:dyDescent="0.25">
      <c r="A555" s="12"/>
      <c r="B555" s="12"/>
      <c r="C555" s="12"/>
      <c r="D555" s="12"/>
      <c r="E555" s="12"/>
      <c r="F555" s="12"/>
      <c r="G555" s="38"/>
      <c r="H555" s="12"/>
      <c r="I555" s="12"/>
      <c r="J555" s="12"/>
      <c r="K555" s="12"/>
      <c r="L555" s="35"/>
    </row>
    <row r="556" spans="1:12" x14ac:dyDescent="0.25">
      <c r="A556" s="11"/>
      <c r="B556" s="11"/>
      <c r="C556" s="11"/>
      <c r="D556" s="11"/>
      <c r="E556" s="11"/>
      <c r="F556" s="11"/>
      <c r="G556" s="39"/>
      <c r="H556" s="11"/>
      <c r="I556" s="11"/>
      <c r="J556" s="11"/>
      <c r="K556" s="11"/>
      <c r="L556" s="34"/>
    </row>
    <row r="557" spans="1:12" x14ac:dyDescent="0.25">
      <c r="A557" s="12"/>
      <c r="B557" s="12"/>
      <c r="C557" s="12"/>
      <c r="D557" s="12"/>
      <c r="E557" s="12"/>
      <c r="F557" s="12"/>
      <c r="G557" s="38"/>
      <c r="H557" s="12"/>
      <c r="I557" s="12"/>
      <c r="J557" s="12"/>
      <c r="K557" s="12"/>
      <c r="L557" s="35"/>
    </row>
    <row r="558" spans="1:12" x14ac:dyDescent="0.25">
      <c r="A558" s="11"/>
      <c r="B558" s="11"/>
      <c r="C558" s="11"/>
      <c r="D558" s="11"/>
      <c r="E558" s="11"/>
      <c r="F558" s="11"/>
      <c r="G558" s="39"/>
      <c r="H558" s="11"/>
      <c r="I558" s="11"/>
      <c r="J558" s="11"/>
      <c r="K558" s="11"/>
      <c r="L558" s="34"/>
    </row>
    <row r="559" spans="1:12" x14ac:dyDescent="0.25">
      <c r="A559" s="12"/>
      <c r="B559" s="12"/>
      <c r="C559" s="12"/>
      <c r="D559" s="12"/>
      <c r="E559" s="12"/>
      <c r="F559" s="12"/>
      <c r="G559" s="38"/>
      <c r="H559" s="12"/>
      <c r="I559" s="12"/>
      <c r="J559" s="12"/>
      <c r="K559" s="12"/>
      <c r="L559" s="35"/>
    </row>
    <row r="560" spans="1:12" x14ac:dyDescent="0.25">
      <c r="A560" s="11"/>
      <c r="B560" s="11"/>
      <c r="C560" s="11"/>
      <c r="D560" s="11"/>
      <c r="E560" s="11"/>
      <c r="F560" s="11"/>
      <c r="G560" s="39"/>
      <c r="H560" s="11"/>
      <c r="I560" s="11"/>
      <c r="J560" s="11"/>
      <c r="K560" s="11"/>
      <c r="L560" s="34"/>
    </row>
    <row r="561" spans="1:12" x14ac:dyDescent="0.25">
      <c r="A561" s="12"/>
      <c r="B561" s="12"/>
      <c r="C561" s="12"/>
      <c r="D561" s="12"/>
      <c r="E561" s="12"/>
      <c r="F561" s="12"/>
      <c r="G561" s="38"/>
      <c r="H561" s="12"/>
      <c r="I561" s="12"/>
      <c r="J561" s="12"/>
      <c r="K561" s="12"/>
      <c r="L561" s="35"/>
    </row>
    <row r="562" spans="1:12" x14ac:dyDescent="0.25">
      <c r="A562" s="11"/>
      <c r="B562" s="11"/>
      <c r="C562" s="11"/>
      <c r="D562" s="11"/>
      <c r="E562" s="11"/>
      <c r="F562" s="11"/>
      <c r="G562" s="39"/>
      <c r="H562" s="11"/>
      <c r="I562" s="11"/>
      <c r="J562" s="11"/>
      <c r="K562" s="11"/>
      <c r="L562" s="34"/>
    </row>
    <row r="563" spans="1:12" x14ac:dyDescent="0.25">
      <c r="A563" s="12"/>
      <c r="B563" s="12"/>
      <c r="C563" s="12"/>
      <c r="D563" s="12"/>
      <c r="E563" s="12"/>
      <c r="F563" s="12"/>
      <c r="G563" s="38"/>
      <c r="H563" s="12"/>
      <c r="I563" s="12"/>
      <c r="J563" s="12"/>
      <c r="K563" s="12"/>
      <c r="L563" s="35"/>
    </row>
    <row r="564" spans="1:12" x14ac:dyDescent="0.25">
      <c r="A564" s="11"/>
      <c r="B564" s="11"/>
      <c r="C564" s="11"/>
      <c r="D564" s="11"/>
      <c r="E564" s="11"/>
      <c r="F564" s="11"/>
      <c r="G564" s="39"/>
      <c r="H564" s="11"/>
      <c r="I564" s="11"/>
      <c r="J564" s="11"/>
      <c r="K564" s="11"/>
      <c r="L564" s="34"/>
    </row>
    <row r="565" spans="1:12" x14ac:dyDescent="0.25">
      <c r="A565" s="12"/>
      <c r="B565" s="12"/>
      <c r="C565" s="12"/>
      <c r="D565" s="12"/>
      <c r="E565" s="12"/>
      <c r="F565" s="12"/>
      <c r="G565" s="38"/>
      <c r="H565" s="12"/>
      <c r="I565" s="12"/>
      <c r="J565" s="12"/>
      <c r="K565" s="12"/>
      <c r="L565" s="35"/>
    </row>
    <row r="566" spans="1:12" x14ac:dyDescent="0.25">
      <c r="A566" s="11"/>
      <c r="B566" s="11"/>
      <c r="C566" s="11"/>
      <c r="D566" s="11"/>
      <c r="E566" s="11"/>
      <c r="F566" s="11"/>
      <c r="G566" s="39"/>
      <c r="H566" s="11"/>
      <c r="I566" s="11"/>
      <c r="J566" s="11"/>
      <c r="K566" s="11"/>
      <c r="L566" s="34"/>
    </row>
    <row r="567" spans="1:12" x14ac:dyDescent="0.25">
      <c r="A567" s="12"/>
      <c r="B567" s="12"/>
      <c r="C567" s="12"/>
      <c r="D567" s="12"/>
      <c r="E567" s="12"/>
      <c r="F567" s="12"/>
      <c r="G567" s="38"/>
      <c r="H567" s="12"/>
      <c r="I567" s="12"/>
      <c r="J567" s="12"/>
      <c r="K567" s="12"/>
      <c r="L567" s="35"/>
    </row>
    <row r="568" spans="1:12" x14ac:dyDescent="0.25">
      <c r="A568" s="11"/>
      <c r="B568" s="11"/>
      <c r="C568" s="11"/>
      <c r="D568" s="11"/>
      <c r="E568" s="11"/>
      <c r="F568" s="11"/>
      <c r="G568" s="39"/>
      <c r="H568" s="11"/>
      <c r="I568" s="11"/>
      <c r="J568" s="11"/>
      <c r="K568" s="11"/>
      <c r="L568" s="34"/>
    </row>
    <row r="569" spans="1:12" x14ac:dyDescent="0.25">
      <c r="A569" s="12"/>
      <c r="B569" s="12"/>
      <c r="C569" s="12"/>
      <c r="D569" s="12"/>
      <c r="E569" s="12"/>
      <c r="F569" s="12"/>
      <c r="G569" s="38"/>
      <c r="H569" s="12"/>
      <c r="I569" s="12"/>
      <c r="J569" s="12"/>
      <c r="K569" s="12"/>
      <c r="L569" s="35"/>
    </row>
    <row r="570" spans="1:12" x14ac:dyDescent="0.25">
      <c r="A570" s="11"/>
      <c r="B570" s="11"/>
      <c r="C570" s="11"/>
      <c r="D570" s="11"/>
      <c r="E570" s="11"/>
      <c r="F570" s="11"/>
      <c r="G570" s="39"/>
      <c r="H570" s="11"/>
      <c r="I570" s="11"/>
      <c r="J570" s="11"/>
      <c r="K570" s="11"/>
      <c r="L570" s="34"/>
    </row>
    <row r="571" spans="1:12" x14ac:dyDescent="0.25">
      <c r="A571" s="12"/>
      <c r="B571" s="12"/>
      <c r="C571" s="12"/>
      <c r="D571" s="12"/>
      <c r="E571" s="12"/>
      <c r="F571" s="12"/>
      <c r="G571" s="38"/>
      <c r="H571" s="12"/>
      <c r="I571" s="12"/>
      <c r="J571" s="12"/>
      <c r="K571" s="12"/>
      <c r="L571" s="35"/>
    </row>
    <row r="572" spans="1:12" x14ac:dyDescent="0.25">
      <c r="A572" s="11"/>
      <c r="B572" s="11"/>
      <c r="C572" s="11"/>
      <c r="D572" s="11"/>
      <c r="E572" s="11"/>
      <c r="F572" s="11"/>
      <c r="G572" s="39"/>
      <c r="H572" s="11"/>
      <c r="I572" s="11"/>
      <c r="J572" s="11"/>
      <c r="K572" s="11"/>
      <c r="L572" s="34"/>
    </row>
    <row r="573" spans="1:12" x14ac:dyDescent="0.25">
      <c r="A573" s="12"/>
      <c r="B573" s="12"/>
      <c r="C573" s="12"/>
      <c r="D573" s="12"/>
      <c r="E573" s="12"/>
      <c r="F573" s="12"/>
      <c r="G573" s="38"/>
      <c r="H573" s="12"/>
      <c r="I573" s="12"/>
      <c r="J573" s="12"/>
      <c r="K573" s="12"/>
      <c r="L573" s="35"/>
    </row>
    <row r="574" spans="1:12" x14ac:dyDescent="0.25">
      <c r="A574" s="11"/>
      <c r="B574" s="11"/>
      <c r="C574" s="11"/>
      <c r="D574" s="11"/>
      <c r="E574" s="11"/>
      <c r="F574" s="11"/>
      <c r="G574" s="39"/>
      <c r="H574" s="11"/>
      <c r="I574" s="11"/>
      <c r="J574" s="11"/>
      <c r="K574" s="11"/>
      <c r="L574" s="34"/>
    </row>
    <row r="575" spans="1:12" x14ac:dyDescent="0.25">
      <c r="A575" s="12"/>
      <c r="B575" s="12"/>
      <c r="C575" s="12"/>
      <c r="D575" s="12"/>
      <c r="E575" s="12"/>
      <c r="F575" s="12"/>
      <c r="G575" s="38"/>
      <c r="H575" s="12"/>
      <c r="I575" s="12"/>
      <c r="J575" s="12"/>
      <c r="K575" s="12"/>
      <c r="L575" s="35"/>
    </row>
    <row r="576" spans="1:12" x14ac:dyDescent="0.25">
      <c r="A576" s="11"/>
      <c r="B576" s="11"/>
      <c r="C576" s="11"/>
      <c r="D576" s="11"/>
      <c r="E576" s="11"/>
      <c r="F576" s="11"/>
      <c r="G576" s="39"/>
      <c r="H576" s="11"/>
      <c r="I576" s="11"/>
      <c r="J576" s="11"/>
      <c r="K576" s="11"/>
      <c r="L576" s="34"/>
    </row>
    <row r="577" spans="1:12" x14ac:dyDescent="0.25">
      <c r="A577" s="12"/>
      <c r="B577" s="12"/>
      <c r="C577" s="12"/>
      <c r="D577" s="12"/>
      <c r="E577" s="12"/>
      <c r="F577" s="12"/>
      <c r="G577" s="38"/>
      <c r="H577" s="12"/>
      <c r="I577" s="12"/>
      <c r="J577" s="12"/>
      <c r="K577" s="12"/>
      <c r="L577" s="35"/>
    </row>
    <row r="578" spans="1:12" x14ac:dyDescent="0.25">
      <c r="A578" s="11"/>
      <c r="B578" s="11"/>
      <c r="C578" s="11"/>
      <c r="D578" s="11"/>
      <c r="E578" s="11"/>
      <c r="F578" s="11"/>
      <c r="G578" s="39"/>
      <c r="H578" s="11"/>
      <c r="I578" s="11"/>
      <c r="J578" s="11"/>
      <c r="K578" s="11"/>
      <c r="L578" s="34"/>
    </row>
    <row r="579" spans="1:12" x14ac:dyDescent="0.25">
      <c r="A579" s="12"/>
      <c r="B579" s="12"/>
      <c r="C579" s="12"/>
      <c r="D579" s="12"/>
      <c r="E579" s="12"/>
      <c r="F579" s="12"/>
      <c r="G579" s="38"/>
      <c r="H579" s="12"/>
      <c r="I579" s="12"/>
      <c r="J579" s="12"/>
      <c r="K579" s="12"/>
      <c r="L579" s="35"/>
    </row>
    <row r="580" spans="1:12" x14ac:dyDescent="0.25">
      <c r="A580" s="11"/>
      <c r="B580" s="11"/>
      <c r="C580" s="11"/>
      <c r="D580" s="11"/>
      <c r="E580" s="11"/>
      <c r="F580" s="11"/>
      <c r="G580" s="39"/>
      <c r="H580" s="11"/>
      <c r="I580" s="11"/>
      <c r="J580" s="11"/>
      <c r="K580" s="11"/>
      <c r="L580" s="34"/>
    </row>
    <row r="581" spans="1:12" x14ac:dyDescent="0.25">
      <c r="A581" s="12"/>
      <c r="B581" s="12"/>
      <c r="C581" s="12"/>
      <c r="D581" s="12"/>
      <c r="E581" s="12"/>
      <c r="F581" s="12"/>
      <c r="G581" s="38"/>
      <c r="H581" s="12"/>
      <c r="I581" s="12"/>
      <c r="J581" s="12"/>
      <c r="K581" s="12"/>
      <c r="L581" s="35"/>
    </row>
    <row r="582" spans="1:12" x14ac:dyDescent="0.25">
      <c r="A582" s="11"/>
      <c r="B582" s="11"/>
      <c r="C582" s="11"/>
      <c r="D582" s="11"/>
      <c r="E582" s="11"/>
      <c r="F582" s="11"/>
      <c r="G582" s="39"/>
      <c r="H582" s="11"/>
      <c r="I582" s="11"/>
      <c r="J582" s="11"/>
      <c r="K582" s="11"/>
      <c r="L582" s="34"/>
    </row>
    <row r="583" spans="1:12" x14ac:dyDescent="0.25">
      <c r="A583" s="12"/>
      <c r="B583" s="12"/>
      <c r="C583" s="12"/>
      <c r="D583" s="12"/>
      <c r="E583" s="12"/>
      <c r="F583" s="12"/>
      <c r="G583" s="38"/>
      <c r="H583" s="12"/>
      <c r="I583" s="12"/>
      <c r="J583" s="12"/>
      <c r="K583" s="12"/>
      <c r="L583" s="35"/>
    </row>
    <row r="584" spans="1:12" x14ac:dyDescent="0.25">
      <c r="A584" s="11"/>
      <c r="B584" s="11"/>
      <c r="C584" s="11"/>
      <c r="D584" s="11"/>
      <c r="E584" s="11"/>
      <c r="F584" s="11"/>
      <c r="G584" s="39"/>
      <c r="H584" s="11"/>
      <c r="I584" s="11"/>
      <c r="J584" s="11"/>
      <c r="K584" s="11"/>
      <c r="L584" s="34"/>
    </row>
    <row r="585" spans="1:12" x14ac:dyDescent="0.25">
      <c r="A585" s="12"/>
      <c r="B585" s="12"/>
      <c r="C585" s="12"/>
      <c r="D585" s="12"/>
      <c r="E585" s="12"/>
      <c r="F585" s="12"/>
      <c r="G585" s="38"/>
      <c r="H585" s="12"/>
      <c r="I585" s="12"/>
      <c r="J585" s="12"/>
      <c r="K585" s="12"/>
      <c r="L585" s="35"/>
    </row>
    <row r="586" spans="1:12" x14ac:dyDescent="0.25">
      <c r="A586" s="11"/>
      <c r="B586" s="11"/>
      <c r="C586" s="11"/>
      <c r="D586" s="11"/>
      <c r="E586" s="11"/>
      <c r="F586" s="11"/>
      <c r="G586" s="39"/>
      <c r="H586" s="11"/>
      <c r="I586" s="11"/>
      <c r="J586" s="11"/>
      <c r="K586" s="11"/>
      <c r="L586" s="34"/>
    </row>
    <row r="587" spans="1:12" x14ac:dyDescent="0.25">
      <c r="A587" s="12"/>
      <c r="B587" s="12"/>
      <c r="C587" s="12"/>
      <c r="D587" s="12"/>
      <c r="E587" s="12"/>
      <c r="F587" s="12"/>
      <c r="G587" s="38"/>
      <c r="H587" s="12"/>
      <c r="I587" s="12"/>
      <c r="J587" s="12"/>
      <c r="K587" s="12"/>
      <c r="L587" s="35"/>
    </row>
    <row r="588" spans="1:12" x14ac:dyDescent="0.25">
      <c r="A588" s="11"/>
      <c r="B588" s="11"/>
      <c r="C588" s="11"/>
      <c r="D588" s="11"/>
      <c r="E588" s="11"/>
      <c r="F588" s="11"/>
      <c r="G588" s="39"/>
      <c r="H588" s="11"/>
      <c r="I588" s="11"/>
      <c r="J588" s="11"/>
      <c r="K588" s="11"/>
      <c r="L588" s="34"/>
    </row>
    <row r="589" spans="1:12" x14ac:dyDescent="0.25">
      <c r="A589" s="12"/>
      <c r="B589" s="12"/>
      <c r="C589" s="12"/>
      <c r="D589" s="12"/>
      <c r="E589" s="12"/>
      <c r="F589" s="12"/>
      <c r="G589" s="38"/>
      <c r="H589" s="12"/>
      <c r="I589" s="12"/>
      <c r="J589" s="12"/>
      <c r="K589" s="12"/>
      <c r="L589" s="35"/>
    </row>
    <row r="590" spans="1:12" x14ac:dyDescent="0.25">
      <c r="A590" s="11"/>
      <c r="B590" s="11"/>
      <c r="C590" s="11"/>
      <c r="D590" s="11"/>
      <c r="E590" s="11"/>
      <c r="F590" s="11"/>
      <c r="G590" s="39"/>
      <c r="H590" s="11"/>
      <c r="I590" s="11"/>
      <c r="J590" s="11"/>
      <c r="K590" s="11"/>
      <c r="L590" s="34"/>
    </row>
    <row r="591" spans="1:12" x14ac:dyDescent="0.25">
      <c r="A591" s="12"/>
      <c r="B591" s="12"/>
      <c r="C591" s="12"/>
      <c r="D591" s="12"/>
      <c r="E591" s="12"/>
      <c r="F591" s="12"/>
      <c r="G591" s="38"/>
      <c r="H591" s="12"/>
      <c r="I591" s="12"/>
      <c r="J591" s="12"/>
      <c r="K591" s="12"/>
      <c r="L591" s="35"/>
    </row>
    <row r="592" spans="1:12" x14ac:dyDescent="0.25">
      <c r="A592" s="11"/>
      <c r="B592" s="11"/>
      <c r="C592" s="11"/>
      <c r="D592" s="11"/>
      <c r="E592" s="11"/>
      <c r="F592" s="11"/>
      <c r="G592" s="39"/>
      <c r="H592" s="11"/>
      <c r="I592" s="11"/>
      <c r="J592" s="11"/>
      <c r="K592" s="11"/>
      <c r="L592" s="34"/>
    </row>
    <row r="593" spans="1:12" x14ac:dyDescent="0.25">
      <c r="A593" s="12"/>
      <c r="B593" s="12"/>
      <c r="C593" s="12"/>
      <c r="D593" s="12"/>
      <c r="E593" s="12"/>
      <c r="F593" s="12"/>
      <c r="G593" s="38"/>
      <c r="H593" s="12"/>
      <c r="I593" s="12"/>
      <c r="J593" s="12"/>
      <c r="K593" s="12"/>
      <c r="L593" s="35"/>
    </row>
    <row r="594" spans="1:12" x14ac:dyDescent="0.25">
      <c r="A594" s="11"/>
      <c r="B594" s="11"/>
      <c r="C594" s="11"/>
      <c r="D594" s="11"/>
      <c r="E594" s="11"/>
      <c r="F594" s="11"/>
      <c r="G594" s="39"/>
      <c r="H594" s="11"/>
      <c r="I594" s="11"/>
      <c r="J594" s="11"/>
      <c r="K594" s="11"/>
      <c r="L594" s="34"/>
    </row>
    <row r="595" spans="1:12" x14ac:dyDescent="0.25">
      <c r="A595" s="12"/>
      <c r="B595" s="12"/>
      <c r="C595" s="12"/>
      <c r="D595" s="12"/>
      <c r="E595" s="12"/>
      <c r="F595" s="12"/>
      <c r="G595" s="38"/>
      <c r="H595" s="12"/>
      <c r="I595" s="12"/>
      <c r="J595" s="12"/>
      <c r="K595" s="12"/>
      <c r="L595" s="35"/>
    </row>
    <row r="596" spans="1:12" x14ac:dyDescent="0.25">
      <c r="A596" s="11"/>
      <c r="B596" s="11"/>
      <c r="C596" s="11"/>
      <c r="D596" s="11"/>
      <c r="E596" s="11"/>
      <c r="F596" s="11"/>
      <c r="G596" s="39"/>
      <c r="H596" s="11"/>
      <c r="I596" s="11"/>
      <c r="J596" s="11"/>
      <c r="K596" s="11"/>
      <c r="L596" s="34"/>
    </row>
    <row r="597" spans="1:12" x14ac:dyDescent="0.25">
      <c r="A597" s="12"/>
      <c r="B597" s="12"/>
      <c r="C597" s="12"/>
      <c r="D597" s="12"/>
      <c r="E597" s="12"/>
      <c r="F597" s="12"/>
      <c r="G597" s="38"/>
      <c r="H597" s="12"/>
      <c r="I597" s="12"/>
      <c r="J597" s="12"/>
      <c r="K597" s="12"/>
      <c r="L597" s="35"/>
    </row>
    <row r="598" spans="1:12" x14ac:dyDescent="0.25">
      <c r="A598" s="11"/>
      <c r="B598" s="11"/>
      <c r="C598" s="11"/>
      <c r="D598" s="11"/>
      <c r="E598" s="11"/>
      <c r="F598" s="11"/>
      <c r="G598" s="39"/>
      <c r="H598" s="11"/>
      <c r="I598" s="11"/>
      <c r="J598" s="11"/>
      <c r="K598" s="11"/>
      <c r="L598" s="34"/>
    </row>
    <row r="599" spans="1:12" x14ac:dyDescent="0.25">
      <c r="A599" s="12"/>
      <c r="B599" s="12"/>
      <c r="C599" s="12"/>
      <c r="D599" s="12"/>
      <c r="E599" s="12"/>
      <c r="F599" s="12"/>
      <c r="G599" s="38"/>
      <c r="H599" s="12"/>
      <c r="I599" s="12"/>
      <c r="J599" s="12"/>
      <c r="K599" s="12"/>
      <c r="L599" s="35"/>
    </row>
    <row r="600" spans="1:12" x14ac:dyDescent="0.25">
      <c r="A600" s="11"/>
      <c r="B600" s="11"/>
      <c r="C600" s="11"/>
      <c r="D600" s="11"/>
      <c r="E600" s="11"/>
      <c r="F600" s="11"/>
      <c r="G600" s="39"/>
      <c r="H600" s="11"/>
      <c r="I600" s="11"/>
      <c r="J600" s="11"/>
      <c r="K600" s="11"/>
      <c r="L600" s="34"/>
    </row>
    <row r="601" spans="1:12" x14ac:dyDescent="0.25">
      <c r="A601" s="12"/>
      <c r="B601" s="12"/>
      <c r="C601" s="12"/>
      <c r="D601" s="12"/>
      <c r="E601" s="12"/>
      <c r="F601" s="12"/>
      <c r="G601" s="38"/>
      <c r="H601" s="12"/>
      <c r="I601" s="12"/>
      <c r="J601" s="12"/>
      <c r="K601" s="12"/>
      <c r="L601" s="35"/>
    </row>
    <row r="602" spans="1:12" x14ac:dyDescent="0.25">
      <c r="A602" s="11"/>
      <c r="B602" s="11"/>
      <c r="C602" s="11"/>
      <c r="D602" s="11"/>
      <c r="E602" s="11"/>
      <c r="F602" s="11"/>
      <c r="G602" s="39"/>
      <c r="H602" s="11"/>
      <c r="I602" s="11"/>
      <c r="J602" s="11"/>
      <c r="K602" s="11"/>
      <c r="L602" s="34"/>
    </row>
    <row r="603" spans="1:12" x14ac:dyDescent="0.25">
      <c r="A603" s="12"/>
      <c r="B603" s="12"/>
      <c r="C603" s="12"/>
      <c r="D603" s="12"/>
      <c r="E603" s="12"/>
      <c r="F603" s="12"/>
      <c r="G603" s="38"/>
      <c r="H603" s="12"/>
      <c r="I603" s="12"/>
      <c r="J603" s="12"/>
      <c r="K603" s="12"/>
      <c r="L603" s="35"/>
    </row>
    <row r="604" spans="1:12" x14ac:dyDescent="0.25">
      <c r="A604" s="11"/>
      <c r="B604" s="11"/>
      <c r="C604" s="11"/>
      <c r="D604" s="11"/>
      <c r="E604" s="11"/>
      <c r="F604" s="11"/>
      <c r="G604" s="39"/>
      <c r="H604" s="11"/>
      <c r="I604" s="11"/>
      <c r="J604" s="11"/>
      <c r="K604" s="11"/>
      <c r="L604" s="34"/>
    </row>
    <row r="605" spans="1:12" x14ac:dyDescent="0.25">
      <c r="A605" s="12"/>
      <c r="B605" s="12"/>
      <c r="C605" s="12"/>
      <c r="D605" s="12"/>
      <c r="E605" s="12"/>
      <c r="F605" s="12"/>
      <c r="G605" s="38"/>
      <c r="H605" s="12"/>
      <c r="I605" s="12"/>
      <c r="J605" s="12"/>
      <c r="K605" s="12"/>
      <c r="L605" s="35"/>
    </row>
    <row r="606" spans="1:12" x14ac:dyDescent="0.25">
      <c r="A606" s="11"/>
      <c r="B606" s="11"/>
      <c r="C606" s="11"/>
      <c r="D606" s="11"/>
      <c r="E606" s="11"/>
      <c r="F606" s="11"/>
      <c r="G606" s="39"/>
      <c r="H606" s="11"/>
      <c r="I606" s="11"/>
      <c r="J606" s="11"/>
      <c r="K606" s="11"/>
      <c r="L606" s="34"/>
    </row>
    <row r="607" spans="1:12" x14ac:dyDescent="0.25">
      <c r="A607" s="12"/>
      <c r="B607" s="12"/>
      <c r="C607" s="12"/>
      <c r="D607" s="12"/>
      <c r="E607" s="12"/>
      <c r="F607" s="12"/>
      <c r="G607" s="38"/>
      <c r="H607" s="12"/>
      <c r="I607" s="12"/>
      <c r="J607" s="12"/>
      <c r="K607" s="12"/>
      <c r="L607" s="35"/>
    </row>
    <row r="608" spans="1:12" x14ac:dyDescent="0.25">
      <c r="A608" s="11"/>
      <c r="B608" s="11"/>
      <c r="C608" s="11"/>
      <c r="D608" s="11"/>
      <c r="E608" s="11"/>
      <c r="F608" s="11"/>
      <c r="G608" s="39"/>
      <c r="H608" s="11"/>
      <c r="I608" s="11"/>
      <c r="J608" s="11"/>
      <c r="K608" s="11"/>
      <c r="L608" s="34"/>
    </row>
    <row r="609" spans="1:12" x14ac:dyDescent="0.25">
      <c r="A609" s="12"/>
      <c r="B609" s="12"/>
      <c r="C609" s="12"/>
      <c r="D609" s="12"/>
      <c r="E609" s="12"/>
      <c r="F609" s="12"/>
      <c r="G609" s="38"/>
      <c r="H609" s="12"/>
      <c r="I609" s="12"/>
      <c r="J609" s="12"/>
      <c r="K609" s="12"/>
      <c r="L609" s="35"/>
    </row>
    <row r="610" spans="1:12" x14ac:dyDescent="0.25">
      <c r="A610" s="11"/>
      <c r="B610" s="11"/>
      <c r="C610" s="11"/>
      <c r="D610" s="11"/>
      <c r="E610" s="11"/>
      <c r="F610" s="11"/>
      <c r="G610" s="39"/>
      <c r="H610" s="11"/>
      <c r="I610" s="11"/>
      <c r="J610" s="11"/>
      <c r="K610" s="11"/>
      <c r="L610" s="34"/>
    </row>
    <row r="611" spans="1:12" x14ac:dyDescent="0.25">
      <c r="A611" s="12"/>
      <c r="B611" s="12"/>
      <c r="C611" s="12"/>
      <c r="D611" s="12"/>
      <c r="E611" s="12"/>
      <c r="F611" s="12"/>
      <c r="G611" s="38"/>
      <c r="H611" s="12"/>
      <c r="I611" s="12"/>
      <c r="J611" s="12"/>
      <c r="K611" s="12"/>
      <c r="L611" s="35"/>
    </row>
    <row r="612" spans="1:12" x14ac:dyDescent="0.25">
      <c r="A612" s="11"/>
      <c r="B612" s="11"/>
      <c r="C612" s="11"/>
      <c r="D612" s="11"/>
      <c r="E612" s="11"/>
      <c r="F612" s="11"/>
      <c r="G612" s="39"/>
      <c r="H612" s="11"/>
      <c r="I612" s="11"/>
      <c r="J612" s="11"/>
      <c r="K612" s="11"/>
      <c r="L612" s="34"/>
    </row>
    <row r="613" spans="1:12" x14ac:dyDescent="0.25">
      <c r="A613" s="12"/>
      <c r="B613" s="12"/>
      <c r="C613" s="12"/>
      <c r="D613" s="12"/>
      <c r="E613" s="12"/>
      <c r="F613" s="12"/>
      <c r="G613" s="38"/>
      <c r="H613" s="12"/>
      <c r="I613" s="12"/>
      <c r="J613" s="12"/>
      <c r="K613" s="12"/>
      <c r="L613" s="35"/>
    </row>
    <row r="614" spans="1:12" x14ac:dyDescent="0.25">
      <c r="A614" s="11"/>
      <c r="B614" s="11"/>
      <c r="C614" s="11"/>
      <c r="D614" s="11"/>
      <c r="E614" s="11"/>
      <c r="F614" s="11"/>
      <c r="G614" s="39"/>
      <c r="H614" s="11"/>
      <c r="I614" s="11"/>
      <c r="J614" s="11"/>
      <c r="K614" s="11"/>
      <c r="L614" s="34"/>
    </row>
    <row r="615" spans="1:12" x14ac:dyDescent="0.25">
      <c r="A615" s="12"/>
      <c r="B615" s="12"/>
      <c r="C615" s="12"/>
      <c r="D615" s="12"/>
      <c r="E615" s="12"/>
      <c r="F615" s="12"/>
      <c r="G615" s="38"/>
      <c r="H615" s="12"/>
      <c r="I615" s="12"/>
      <c r="J615" s="12"/>
      <c r="K615" s="12"/>
      <c r="L615" s="35"/>
    </row>
    <row r="616" spans="1:12" x14ac:dyDescent="0.25">
      <c r="A616" s="11"/>
      <c r="B616" s="11"/>
      <c r="C616" s="11"/>
      <c r="D616" s="11"/>
      <c r="E616" s="11"/>
      <c r="F616" s="11"/>
      <c r="G616" s="39"/>
      <c r="H616" s="11"/>
      <c r="I616" s="11"/>
      <c r="J616" s="11"/>
      <c r="K616" s="11"/>
      <c r="L616" s="34"/>
    </row>
    <row r="617" spans="1:12" x14ac:dyDescent="0.25">
      <c r="A617" s="12"/>
      <c r="B617" s="12"/>
      <c r="C617" s="12"/>
      <c r="D617" s="12"/>
      <c r="E617" s="12"/>
      <c r="F617" s="12"/>
      <c r="G617" s="38"/>
      <c r="H617" s="12"/>
      <c r="I617" s="12"/>
      <c r="J617" s="12"/>
      <c r="K617" s="12"/>
      <c r="L617" s="35"/>
    </row>
    <row r="618" spans="1:12" x14ac:dyDescent="0.25">
      <c r="A618" s="11"/>
      <c r="B618" s="11"/>
      <c r="C618" s="11"/>
      <c r="D618" s="11"/>
      <c r="E618" s="11"/>
      <c r="F618" s="11"/>
      <c r="G618" s="39"/>
      <c r="H618" s="11"/>
      <c r="I618" s="11"/>
      <c r="J618" s="11"/>
      <c r="K618" s="11"/>
      <c r="L618" s="34"/>
    </row>
    <row r="619" spans="1:12" x14ac:dyDescent="0.25">
      <c r="A619" s="12"/>
      <c r="B619" s="12"/>
      <c r="C619" s="12"/>
      <c r="D619" s="12"/>
      <c r="E619" s="12"/>
      <c r="F619" s="12"/>
      <c r="G619" s="38"/>
      <c r="H619" s="12"/>
      <c r="I619" s="12"/>
      <c r="J619" s="12"/>
      <c r="K619" s="12"/>
      <c r="L619" s="35"/>
    </row>
    <row r="620" spans="1:12" x14ac:dyDescent="0.25">
      <c r="A620" s="11"/>
      <c r="B620" s="11"/>
      <c r="C620" s="11"/>
      <c r="D620" s="11"/>
      <c r="E620" s="11"/>
      <c r="F620" s="11"/>
      <c r="G620" s="39"/>
      <c r="H620" s="11"/>
      <c r="I620" s="11"/>
      <c r="J620" s="11"/>
      <c r="K620" s="11"/>
      <c r="L620" s="34"/>
    </row>
    <row r="621" spans="1:12" x14ac:dyDescent="0.25">
      <c r="A621" s="12"/>
      <c r="B621" s="12"/>
      <c r="C621" s="12"/>
      <c r="D621" s="12"/>
      <c r="E621" s="12"/>
      <c r="F621" s="12"/>
      <c r="G621" s="38"/>
      <c r="H621" s="12"/>
      <c r="I621" s="12"/>
      <c r="J621" s="12"/>
      <c r="K621" s="12"/>
      <c r="L621" s="35"/>
    </row>
    <row r="622" spans="1:12" x14ac:dyDescent="0.25">
      <c r="A622" s="11"/>
      <c r="B622" s="11"/>
      <c r="C622" s="11"/>
      <c r="D622" s="11"/>
      <c r="E622" s="11"/>
      <c r="F622" s="11"/>
      <c r="G622" s="39"/>
      <c r="H622" s="11"/>
      <c r="I622" s="11"/>
      <c r="J622" s="11"/>
      <c r="K622" s="11"/>
      <c r="L622" s="34"/>
    </row>
    <row r="623" spans="1:12" x14ac:dyDescent="0.25">
      <c r="A623" s="12"/>
      <c r="B623" s="12"/>
      <c r="C623" s="12"/>
      <c r="D623" s="12"/>
      <c r="E623" s="12"/>
      <c r="F623" s="12"/>
      <c r="G623" s="38"/>
      <c r="H623" s="12"/>
      <c r="I623" s="12"/>
      <c r="J623" s="12"/>
      <c r="K623" s="12"/>
      <c r="L623" s="35"/>
    </row>
    <row r="624" spans="1:12" x14ac:dyDescent="0.25">
      <c r="A624" s="11"/>
      <c r="B624" s="11"/>
      <c r="C624" s="11"/>
      <c r="D624" s="11"/>
      <c r="E624" s="11"/>
      <c r="F624" s="11"/>
      <c r="G624" s="39"/>
      <c r="H624" s="11"/>
      <c r="I624" s="11"/>
      <c r="J624" s="11"/>
      <c r="K624" s="11"/>
      <c r="L624" s="34"/>
    </row>
    <row r="625" spans="1:12" x14ac:dyDescent="0.25">
      <c r="A625" s="12"/>
      <c r="B625" s="12"/>
      <c r="C625" s="12"/>
      <c r="D625" s="12"/>
      <c r="E625" s="12"/>
      <c r="F625" s="12"/>
      <c r="G625" s="38"/>
      <c r="H625" s="12"/>
      <c r="I625" s="12"/>
      <c r="J625" s="12"/>
      <c r="K625" s="12"/>
      <c r="L625" s="35"/>
    </row>
    <row r="626" spans="1:12" x14ac:dyDescent="0.25">
      <c r="A626" s="11"/>
      <c r="B626" s="11"/>
      <c r="C626" s="11"/>
      <c r="D626" s="11"/>
      <c r="E626" s="11"/>
      <c r="F626" s="11"/>
      <c r="G626" s="39"/>
      <c r="H626" s="11"/>
      <c r="I626" s="11"/>
      <c r="J626" s="11"/>
      <c r="K626" s="11"/>
      <c r="L626" s="34"/>
    </row>
    <row r="627" spans="1:12" x14ac:dyDescent="0.25">
      <c r="A627" s="12"/>
      <c r="B627" s="12"/>
      <c r="C627" s="12"/>
      <c r="D627" s="12"/>
      <c r="E627" s="12"/>
      <c r="F627" s="12"/>
      <c r="G627" s="38"/>
      <c r="H627" s="12"/>
      <c r="I627" s="12"/>
      <c r="J627" s="12"/>
      <c r="K627" s="12"/>
      <c r="L627" s="35"/>
    </row>
    <row r="628" spans="1:12" x14ac:dyDescent="0.25">
      <c r="A628" s="11"/>
      <c r="B628" s="11"/>
      <c r="C628" s="11"/>
      <c r="D628" s="11"/>
      <c r="E628" s="11"/>
      <c r="F628" s="11"/>
      <c r="G628" s="39"/>
      <c r="H628" s="11"/>
      <c r="I628" s="11"/>
      <c r="J628" s="11"/>
      <c r="K628" s="11"/>
      <c r="L628" s="34"/>
    </row>
    <row r="629" spans="1:12" x14ac:dyDescent="0.25">
      <c r="A629" s="12"/>
      <c r="B629" s="12"/>
      <c r="C629" s="12"/>
      <c r="D629" s="12"/>
      <c r="E629" s="12"/>
      <c r="F629" s="12"/>
      <c r="G629" s="38"/>
      <c r="H629" s="12"/>
      <c r="I629" s="12"/>
      <c r="J629" s="12"/>
      <c r="K629" s="12"/>
      <c r="L629" s="35"/>
    </row>
    <row r="630" spans="1:12" x14ac:dyDescent="0.25">
      <c r="A630" s="11"/>
      <c r="B630" s="11"/>
      <c r="C630" s="11"/>
      <c r="D630" s="11"/>
      <c r="E630" s="11"/>
      <c r="F630" s="11"/>
      <c r="G630" s="39"/>
      <c r="H630" s="11"/>
      <c r="I630" s="11"/>
      <c r="J630" s="11"/>
      <c r="K630" s="11"/>
      <c r="L630" s="34"/>
    </row>
    <row r="631" spans="1:12" x14ac:dyDescent="0.25">
      <c r="A631" s="12"/>
      <c r="B631" s="12"/>
      <c r="C631" s="12"/>
      <c r="D631" s="12"/>
      <c r="E631" s="12"/>
      <c r="F631" s="12"/>
      <c r="G631" s="38"/>
      <c r="H631" s="12"/>
      <c r="I631" s="12"/>
      <c r="J631" s="12"/>
      <c r="K631" s="12"/>
      <c r="L631" s="35"/>
    </row>
    <row r="632" spans="1:12" x14ac:dyDescent="0.25">
      <c r="A632" s="11"/>
      <c r="B632" s="11"/>
      <c r="C632" s="11"/>
      <c r="D632" s="11"/>
      <c r="E632" s="11"/>
      <c r="F632" s="11"/>
      <c r="G632" s="39"/>
      <c r="H632" s="11"/>
      <c r="I632" s="11"/>
      <c r="J632" s="11"/>
      <c r="K632" s="11"/>
      <c r="L632" s="34"/>
    </row>
    <row r="633" spans="1:12" x14ac:dyDescent="0.25">
      <c r="A633" s="12"/>
      <c r="B633" s="12"/>
      <c r="C633" s="12"/>
      <c r="D633" s="12"/>
      <c r="E633" s="12"/>
      <c r="F633" s="12"/>
      <c r="G633" s="38"/>
      <c r="H633" s="12"/>
      <c r="I633" s="12"/>
      <c r="J633" s="12"/>
      <c r="K633" s="12"/>
      <c r="L633" s="35"/>
    </row>
    <row r="634" spans="1:12" x14ac:dyDescent="0.25">
      <c r="A634" s="11"/>
      <c r="B634" s="11"/>
      <c r="C634" s="11"/>
      <c r="D634" s="11"/>
      <c r="E634" s="11"/>
      <c r="F634" s="11"/>
      <c r="G634" s="39"/>
      <c r="H634" s="11"/>
      <c r="I634" s="11"/>
      <c r="J634" s="11"/>
      <c r="K634" s="11"/>
      <c r="L634" s="34"/>
    </row>
    <row r="635" spans="1:12" x14ac:dyDescent="0.25">
      <c r="A635" s="12"/>
      <c r="B635" s="12"/>
      <c r="C635" s="12"/>
      <c r="D635" s="12"/>
      <c r="E635" s="12"/>
      <c r="F635" s="12"/>
      <c r="G635" s="38"/>
      <c r="H635" s="12"/>
      <c r="I635" s="12"/>
      <c r="J635" s="12"/>
      <c r="K635" s="12"/>
      <c r="L635" s="35"/>
    </row>
    <row r="636" spans="1:12" x14ac:dyDescent="0.25">
      <c r="A636" s="11"/>
      <c r="B636" s="11"/>
      <c r="C636" s="11"/>
      <c r="D636" s="11"/>
      <c r="E636" s="11"/>
      <c r="F636" s="11"/>
      <c r="G636" s="39"/>
      <c r="H636" s="11"/>
      <c r="I636" s="11"/>
      <c r="J636" s="11"/>
      <c r="K636" s="11"/>
      <c r="L636" s="34"/>
    </row>
    <row r="637" spans="1:12" x14ac:dyDescent="0.25">
      <c r="A637" s="12"/>
      <c r="B637" s="12"/>
      <c r="C637" s="12"/>
      <c r="D637" s="12"/>
      <c r="E637" s="12"/>
      <c r="F637" s="12"/>
      <c r="G637" s="38"/>
      <c r="H637" s="12"/>
      <c r="I637" s="12"/>
      <c r="J637" s="12"/>
      <c r="K637" s="12"/>
      <c r="L637" s="35"/>
    </row>
    <row r="638" spans="1:12" x14ac:dyDescent="0.25">
      <c r="A638" s="11"/>
      <c r="B638" s="11"/>
      <c r="C638" s="11"/>
      <c r="D638" s="11"/>
      <c r="E638" s="11"/>
      <c r="F638" s="11"/>
      <c r="G638" s="39"/>
      <c r="H638" s="11"/>
      <c r="I638" s="11"/>
      <c r="J638" s="11"/>
      <c r="K638" s="11"/>
      <c r="L638" s="34"/>
    </row>
    <row r="639" spans="1:12" x14ac:dyDescent="0.25">
      <c r="A639" s="12"/>
      <c r="B639" s="12"/>
      <c r="C639" s="12"/>
      <c r="D639" s="12"/>
      <c r="E639" s="12"/>
      <c r="F639" s="12"/>
      <c r="G639" s="38"/>
      <c r="H639" s="12"/>
      <c r="I639" s="12"/>
      <c r="J639" s="12"/>
      <c r="K639" s="12"/>
      <c r="L639" s="35"/>
    </row>
    <row r="640" spans="1:12" x14ac:dyDescent="0.25">
      <c r="A640" s="11"/>
      <c r="B640" s="11"/>
      <c r="C640" s="11"/>
      <c r="D640" s="11"/>
      <c r="E640" s="11"/>
      <c r="F640" s="11"/>
      <c r="G640" s="39"/>
      <c r="H640" s="11"/>
      <c r="I640" s="11"/>
      <c r="J640" s="11"/>
      <c r="K640" s="11"/>
      <c r="L640" s="34"/>
    </row>
    <row r="641" spans="1:12" x14ac:dyDescent="0.25">
      <c r="A641" s="12"/>
      <c r="B641" s="12"/>
      <c r="C641" s="12"/>
      <c r="D641" s="12"/>
      <c r="E641" s="12"/>
      <c r="F641" s="12"/>
      <c r="G641" s="38"/>
      <c r="H641" s="12"/>
      <c r="I641" s="12"/>
      <c r="J641" s="12"/>
      <c r="K641" s="12"/>
      <c r="L641" s="35"/>
    </row>
    <row r="642" spans="1:12" x14ac:dyDescent="0.25">
      <c r="A642" s="11"/>
      <c r="B642" s="11"/>
      <c r="C642" s="11"/>
      <c r="D642" s="11"/>
      <c r="E642" s="11"/>
      <c r="F642" s="11"/>
      <c r="G642" s="39"/>
      <c r="H642" s="11"/>
      <c r="I642" s="11"/>
      <c r="J642" s="11"/>
      <c r="K642" s="11"/>
      <c r="L642" s="34"/>
    </row>
    <row r="643" spans="1:12" x14ac:dyDescent="0.25">
      <c r="A643" s="12"/>
      <c r="B643" s="12"/>
      <c r="C643" s="12"/>
      <c r="D643" s="12"/>
      <c r="E643" s="12"/>
      <c r="F643" s="12"/>
      <c r="G643" s="38"/>
      <c r="H643" s="12"/>
      <c r="I643" s="12"/>
      <c r="J643" s="12"/>
      <c r="K643" s="12"/>
      <c r="L643" s="35"/>
    </row>
    <row r="644" spans="1:12" x14ac:dyDescent="0.25">
      <c r="A644" s="11"/>
      <c r="B644" s="11"/>
      <c r="C644" s="11"/>
      <c r="D644" s="11"/>
      <c r="E644" s="11"/>
      <c r="F644" s="11"/>
      <c r="G644" s="39"/>
      <c r="H644" s="11"/>
      <c r="I644" s="11"/>
      <c r="J644" s="11"/>
      <c r="K644" s="11"/>
      <c r="L644" s="34"/>
    </row>
    <row r="645" spans="1:12" x14ac:dyDescent="0.25">
      <c r="A645" s="12"/>
      <c r="B645" s="12"/>
      <c r="C645" s="12"/>
      <c r="D645" s="12"/>
      <c r="E645" s="12"/>
      <c r="F645" s="12"/>
      <c r="G645" s="38"/>
      <c r="H645" s="12"/>
      <c r="I645" s="12"/>
      <c r="J645" s="12"/>
      <c r="K645" s="12"/>
      <c r="L645" s="35"/>
    </row>
    <row r="646" spans="1:12" x14ac:dyDescent="0.25">
      <c r="A646" s="11"/>
      <c r="B646" s="11"/>
      <c r="C646" s="11"/>
      <c r="D646" s="11"/>
      <c r="E646" s="11"/>
      <c r="F646" s="11"/>
      <c r="G646" s="39"/>
      <c r="H646" s="11"/>
      <c r="I646" s="11"/>
      <c r="J646" s="11"/>
      <c r="K646" s="11"/>
      <c r="L646" s="34"/>
    </row>
    <row r="647" spans="1:12" x14ac:dyDescent="0.25">
      <c r="A647" s="12"/>
      <c r="B647" s="12"/>
      <c r="C647" s="12"/>
      <c r="D647" s="12"/>
      <c r="E647" s="12"/>
      <c r="F647" s="12"/>
      <c r="G647" s="38"/>
      <c r="H647" s="12"/>
      <c r="I647" s="12"/>
      <c r="J647" s="12"/>
      <c r="K647" s="12"/>
      <c r="L647" s="35"/>
    </row>
    <row r="648" spans="1:12" x14ac:dyDescent="0.25">
      <c r="A648" s="11"/>
      <c r="B648" s="11"/>
      <c r="C648" s="11"/>
      <c r="D648" s="11"/>
      <c r="E648" s="11"/>
      <c r="F648" s="11"/>
      <c r="G648" s="39"/>
      <c r="H648" s="11"/>
      <c r="I648" s="11"/>
      <c r="J648" s="11"/>
      <c r="K648" s="11"/>
      <c r="L648" s="34"/>
    </row>
    <row r="649" spans="1:12" x14ac:dyDescent="0.25">
      <c r="A649" s="12"/>
      <c r="B649" s="12"/>
      <c r="C649" s="12"/>
      <c r="D649" s="12"/>
      <c r="E649" s="12"/>
      <c r="F649" s="12"/>
      <c r="G649" s="38"/>
      <c r="H649" s="12"/>
      <c r="I649" s="12"/>
      <c r="J649" s="12"/>
      <c r="K649" s="12"/>
      <c r="L649" s="35"/>
    </row>
    <row r="650" spans="1:12" x14ac:dyDescent="0.25">
      <c r="A650" s="11"/>
      <c r="B650" s="11"/>
      <c r="C650" s="11"/>
      <c r="D650" s="11"/>
      <c r="E650" s="11"/>
      <c r="F650" s="11"/>
      <c r="G650" s="39"/>
      <c r="H650" s="11"/>
      <c r="I650" s="11"/>
      <c r="J650" s="11"/>
      <c r="K650" s="11"/>
      <c r="L650" s="34"/>
    </row>
    <row r="651" spans="1:12" x14ac:dyDescent="0.25">
      <c r="A651" s="12"/>
      <c r="B651" s="12"/>
      <c r="C651" s="12"/>
      <c r="D651" s="12"/>
      <c r="E651" s="12"/>
      <c r="F651" s="12"/>
      <c r="G651" s="38"/>
      <c r="H651" s="12"/>
      <c r="I651" s="12"/>
      <c r="J651" s="12"/>
      <c r="K651" s="12"/>
      <c r="L651" s="35"/>
    </row>
    <row r="652" spans="1:12" x14ac:dyDescent="0.25">
      <c r="A652" s="11"/>
      <c r="B652" s="11"/>
      <c r="C652" s="11"/>
      <c r="D652" s="11"/>
      <c r="E652" s="11"/>
      <c r="F652" s="11"/>
      <c r="G652" s="39"/>
      <c r="H652" s="11"/>
      <c r="I652" s="11"/>
      <c r="J652" s="11"/>
      <c r="K652" s="11"/>
      <c r="L652" s="34"/>
    </row>
    <row r="653" spans="1:12" x14ac:dyDescent="0.25">
      <c r="A653" s="12"/>
      <c r="B653" s="12"/>
      <c r="C653" s="12"/>
      <c r="D653" s="12"/>
      <c r="E653" s="12"/>
      <c r="F653" s="12"/>
      <c r="G653" s="38"/>
      <c r="H653" s="12"/>
      <c r="I653" s="12"/>
      <c r="J653" s="12"/>
      <c r="K653" s="12"/>
      <c r="L653" s="35"/>
    </row>
    <row r="654" spans="1:12" x14ac:dyDescent="0.25">
      <c r="A654" s="11"/>
      <c r="B654" s="11"/>
      <c r="C654" s="11"/>
      <c r="D654" s="11"/>
      <c r="E654" s="11"/>
      <c r="F654" s="11"/>
      <c r="G654" s="39"/>
      <c r="H654" s="11"/>
      <c r="I654" s="11"/>
      <c r="J654" s="11"/>
      <c r="K654" s="11"/>
      <c r="L654" s="34"/>
    </row>
    <row r="655" spans="1:12" x14ac:dyDescent="0.25">
      <c r="A655" s="12"/>
      <c r="B655" s="12"/>
      <c r="C655" s="12"/>
      <c r="D655" s="12"/>
      <c r="E655" s="12"/>
      <c r="F655" s="12"/>
      <c r="G655" s="38"/>
      <c r="H655" s="12"/>
      <c r="I655" s="12"/>
      <c r="J655" s="12"/>
      <c r="K655" s="12"/>
      <c r="L655" s="35"/>
    </row>
    <row r="656" spans="1:12" x14ac:dyDescent="0.25">
      <c r="A656" s="11"/>
      <c r="B656" s="11"/>
      <c r="C656" s="11"/>
      <c r="D656" s="11"/>
      <c r="E656" s="11"/>
      <c r="F656" s="11"/>
      <c r="G656" s="39"/>
      <c r="H656" s="11"/>
      <c r="I656" s="11"/>
      <c r="J656" s="11"/>
      <c r="K656" s="11"/>
      <c r="L656" s="34"/>
    </row>
    <row r="657" spans="1:12" x14ac:dyDescent="0.25">
      <c r="A657" s="12"/>
      <c r="B657" s="12"/>
      <c r="C657" s="12"/>
      <c r="D657" s="12"/>
      <c r="E657" s="12"/>
      <c r="F657" s="12"/>
      <c r="G657" s="38"/>
      <c r="H657" s="12"/>
      <c r="I657" s="12"/>
      <c r="J657" s="12"/>
      <c r="K657" s="12"/>
      <c r="L657" s="35"/>
    </row>
    <row r="658" spans="1:12" x14ac:dyDescent="0.25">
      <c r="A658" s="11"/>
      <c r="B658" s="11"/>
      <c r="C658" s="11"/>
      <c r="D658" s="11"/>
      <c r="E658" s="11"/>
      <c r="F658" s="11"/>
      <c r="G658" s="39"/>
      <c r="H658" s="11"/>
      <c r="I658" s="11"/>
      <c r="J658" s="11"/>
      <c r="K658" s="11"/>
      <c r="L658" s="34"/>
    </row>
    <row r="659" spans="1:12" x14ac:dyDescent="0.25">
      <c r="A659" s="12"/>
      <c r="B659" s="12"/>
      <c r="C659" s="12"/>
      <c r="D659" s="12"/>
      <c r="E659" s="12"/>
      <c r="F659" s="12"/>
      <c r="G659" s="38"/>
      <c r="H659" s="12"/>
      <c r="I659" s="12"/>
      <c r="J659" s="12"/>
      <c r="K659" s="12"/>
      <c r="L659" s="35"/>
    </row>
    <row r="660" spans="1:12" x14ac:dyDescent="0.25">
      <c r="A660" s="11"/>
      <c r="B660" s="11"/>
      <c r="C660" s="11"/>
      <c r="D660" s="11"/>
      <c r="E660" s="11"/>
      <c r="F660" s="11"/>
      <c r="G660" s="39"/>
      <c r="H660" s="11"/>
      <c r="I660" s="11"/>
      <c r="J660" s="11"/>
      <c r="K660" s="11"/>
      <c r="L660" s="34"/>
    </row>
    <row r="661" spans="1:12" x14ac:dyDescent="0.25">
      <c r="A661" s="12"/>
      <c r="B661" s="12"/>
      <c r="C661" s="12"/>
      <c r="D661" s="12"/>
      <c r="E661" s="12"/>
      <c r="F661" s="12"/>
      <c r="G661" s="38"/>
      <c r="H661" s="12"/>
      <c r="I661" s="12"/>
      <c r="J661" s="12"/>
      <c r="K661" s="12"/>
      <c r="L661" s="35"/>
    </row>
    <row r="662" spans="1:12" x14ac:dyDescent="0.25">
      <c r="A662" s="11"/>
      <c r="B662" s="11"/>
      <c r="C662" s="11"/>
      <c r="D662" s="11"/>
      <c r="E662" s="11"/>
      <c r="F662" s="11"/>
      <c r="G662" s="39"/>
      <c r="H662" s="11"/>
      <c r="I662" s="11"/>
      <c r="J662" s="11"/>
      <c r="K662" s="11"/>
      <c r="L662" s="34"/>
    </row>
    <row r="663" spans="1:12" x14ac:dyDescent="0.25">
      <c r="A663" s="12"/>
      <c r="B663" s="12"/>
      <c r="C663" s="12"/>
      <c r="D663" s="12"/>
      <c r="E663" s="12"/>
      <c r="F663" s="12"/>
      <c r="G663" s="38"/>
      <c r="H663" s="12"/>
      <c r="I663" s="12"/>
      <c r="J663" s="12"/>
      <c r="K663" s="12"/>
      <c r="L663" s="35"/>
    </row>
    <row r="664" spans="1:12" x14ac:dyDescent="0.25">
      <c r="A664" s="11"/>
      <c r="B664" s="11"/>
      <c r="C664" s="11"/>
      <c r="D664" s="11"/>
      <c r="E664" s="11"/>
      <c r="F664" s="11"/>
      <c r="G664" s="39"/>
      <c r="H664" s="11"/>
      <c r="I664" s="11"/>
      <c r="J664" s="11"/>
      <c r="K664" s="11"/>
      <c r="L664" s="34"/>
    </row>
    <row r="665" spans="1:12" x14ac:dyDescent="0.25">
      <c r="A665" s="12"/>
      <c r="B665" s="12"/>
      <c r="C665" s="12"/>
      <c r="D665" s="12"/>
      <c r="E665" s="12"/>
      <c r="F665" s="12"/>
      <c r="G665" s="38"/>
      <c r="H665" s="12"/>
      <c r="I665" s="12"/>
      <c r="J665" s="12"/>
      <c r="K665" s="12"/>
      <c r="L665" s="35"/>
    </row>
    <row r="666" spans="1:12" x14ac:dyDescent="0.25">
      <c r="A666" s="11"/>
      <c r="B666" s="11"/>
      <c r="C666" s="11"/>
      <c r="D666" s="11"/>
      <c r="E666" s="11"/>
      <c r="F666" s="11"/>
      <c r="G666" s="39"/>
      <c r="H666" s="11"/>
      <c r="I666" s="11"/>
      <c r="J666" s="11"/>
      <c r="K666" s="11"/>
      <c r="L666" s="34"/>
    </row>
    <row r="667" spans="1:12" x14ac:dyDescent="0.25">
      <c r="A667" s="12"/>
      <c r="B667" s="12"/>
      <c r="C667" s="12"/>
      <c r="D667" s="12"/>
      <c r="E667" s="12"/>
      <c r="F667" s="12"/>
      <c r="G667" s="38"/>
      <c r="H667" s="12"/>
      <c r="I667" s="12"/>
      <c r="J667" s="12"/>
      <c r="K667" s="12"/>
      <c r="L667" s="35"/>
    </row>
    <row r="668" spans="1:12" x14ac:dyDescent="0.25">
      <c r="A668" s="11"/>
      <c r="B668" s="11"/>
      <c r="C668" s="11"/>
      <c r="D668" s="11"/>
      <c r="E668" s="11"/>
      <c r="F668" s="11"/>
      <c r="G668" s="39"/>
      <c r="H668" s="11"/>
      <c r="I668" s="11"/>
      <c r="J668" s="11"/>
      <c r="K668" s="11"/>
      <c r="L668" s="34"/>
    </row>
    <row r="669" spans="1:12" x14ac:dyDescent="0.25">
      <c r="A669" s="12"/>
      <c r="B669" s="12"/>
      <c r="C669" s="12"/>
      <c r="D669" s="12"/>
      <c r="E669" s="12"/>
      <c r="F669" s="12"/>
      <c r="G669" s="38"/>
      <c r="H669" s="12"/>
      <c r="I669" s="12"/>
      <c r="J669" s="12"/>
      <c r="K669" s="12"/>
      <c r="L669" s="35"/>
    </row>
    <row r="670" spans="1:12" x14ac:dyDescent="0.25">
      <c r="A670" s="11"/>
      <c r="B670" s="11"/>
      <c r="C670" s="11"/>
      <c r="D670" s="11"/>
      <c r="E670" s="11"/>
      <c r="F670" s="11"/>
      <c r="G670" s="39"/>
      <c r="H670" s="11"/>
      <c r="I670" s="11"/>
      <c r="J670" s="11"/>
      <c r="K670" s="11"/>
      <c r="L670" s="34"/>
    </row>
    <row r="671" spans="1:12" x14ac:dyDescent="0.25">
      <c r="A671" s="12"/>
      <c r="B671" s="12"/>
      <c r="C671" s="12"/>
      <c r="D671" s="12"/>
      <c r="E671" s="12"/>
      <c r="F671" s="12"/>
      <c r="G671" s="38"/>
      <c r="H671" s="12"/>
      <c r="I671" s="12"/>
      <c r="J671" s="12"/>
      <c r="K671" s="12"/>
      <c r="L671" s="35"/>
    </row>
    <row r="672" spans="1:12" x14ac:dyDescent="0.25">
      <c r="A672" s="11"/>
      <c r="B672" s="11"/>
      <c r="C672" s="11"/>
      <c r="D672" s="11"/>
      <c r="E672" s="11"/>
      <c r="F672" s="11"/>
      <c r="G672" s="39"/>
      <c r="H672" s="11"/>
      <c r="I672" s="11"/>
      <c r="J672" s="11"/>
      <c r="K672" s="11"/>
      <c r="L672" s="34"/>
    </row>
    <row r="673" spans="1:12" x14ac:dyDescent="0.25">
      <c r="A673" s="12"/>
      <c r="B673" s="12"/>
      <c r="C673" s="12"/>
      <c r="D673" s="12"/>
      <c r="E673" s="12"/>
      <c r="F673" s="12"/>
      <c r="G673" s="38"/>
      <c r="H673" s="12"/>
      <c r="I673" s="12"/>
      <c r="J673" s="12"/>
      <c r="K673" s="12"/>
      <c r="L673" s="35"/>
    </row>
    <row r="674" spans="1:12" x14ac:dyDescent="0.25">
      <c r="A674" s="11"/>
      <c r="B674" s="11"/>
      <c r="C674" s="11"/>
      <c r="D674" s="11"/>
      <c r="E674" s="11"/>
      <c r="F674" s="11"/>
      <c r="G674" s="39"/>
      <c r="H674" s="11"/>
      <c r="I674" s="11"/>
      <c r="J674" s="11"/>
      <c r="K674" s="11"/>
      <c r="L674" s="34"/>
    </row>
    <row r="675" spans="1:12" x14ac:dyDescent="0.25">
      <c r="A675" s="12"/>
      <c r="B675" s="12"/>
      <c r="C675" s="12"/>
      <c r="D675" s="12"/>
      <c r="E675" s="12"/>
      <c r="F675" s="12"/>
      <c r="G675" s="38"/>
      <c r="H675" s="12"/>
      <c r="I675" s="12"/>
      <c r="J675" s="12"/>
      <c r="K675" s="12"/>
      <c r="L675" s="35"/>
    </row>
    <row r="676" spans="1:12" x14ac:dyDescent="0.25">
      <c r="A676" s="11"/>
      <c r="B676" s="11"/>
      <c r="C676" s="11"/>
      <c r="D676" s="11"/>
      <c r="E676" s="11"/>
      <c r="F676" s="11"/>
      <c r="G676" s="39"/>
      <c r="H676" s="11"/>
      <c r="I676" s="11"/>
      <c r="J676" s="11"/>
      <c r="K676" s="11"/>
      <c r="L676" s="34"/>
    </row>
    <row r="677" spans="1:12" x14ac:dyDescent="0.25">
      <c r="A677" s="12"/>
      <c r="B677" s="12"/>
      <c r="C677" s="12"/>
      <c r="D677" s="12"/>
      <c r="E677" s="12"/>
      <c r="F677" s="12"/>
      <c r="G677" s="38"/>
      <c r="H677" s="12"/>
      <c r="I677" s="12"/>
      <c r="J677" s="12"/>
      <c r="K677" s="12"/>
      <c r="L677" s="35"/>
    </row>
    <row r="678" spans="1:12" x14ac:dyDescent="0.25">
      <c r="A678" s="11"/>
      <c r="B678" s="11"/>
      <c r="C678" s="11"/>
      <c r="D678" s="11"/>
      <c r="E678" s="11"/>
      <c r="F678" s="11"/>
      <c r="G678" s="39"/>
      <c r="H678" s="11"/>
      <c r="I678" s="11"/>
      <c r="J678" s="11"/>
      <c r="K678" s="11"/>
      <c r="L678" s="34"/>
    </row>
    <row r="679" spans="1:12" x14ac:dyDescent="0.25">
      <c r="A679" s="12"/>
      <c r="B679" s="12"/>
      <c r="C679" s="12"/>
      <c r="D679" s="12"/>
      <c r="E679" s="12"/>
      <c r="F679" s="12"/>
      <c r="G679" s="38"/>
      <c r="H679" s="12"/>
      <c r="I679" s="12"/>
      <c r="J679" s="12"/>
      <c r="K679" s="12"/>
      <c r="L679" s="35"/>
    </row>
    <row r="680" spans="1:12" x14ac:dyDescent="0.25">
      <c r="A680" s="11"/>
      <c r="B680" s="11"/>
      <c r="C680" s="11"/>
      <c r="D680" s="11"/>
      <c r="E680" s="11"/>
      <c r="F680" s="11"/>
      <c r="G680" s="39"/>
      <c r="H680" s="11"/>
      <c r="I680" s="11"/>
      <c r="J680" s="11"/>
      <c r="K680" s="11"/>
      <c r="L680" s="34"/>
    </row>
    <row r="681" spans="1:12" x14ac:dyDescent="0.25">
      <c r="A681" s="12"/>
      <c r="B681" s="12"/>
      <c r="C681" s="12"/>
      <c r="D681" s="12"/>
      <c r="E681" s="12"/>
      <c r="F681" s="12"/>
      <c r="G681" s="38"/>
      <c r="H681" s="12"/>
      <c r="I681" s="12"/>
      <c r="J681" s="12"/>
      <c r="K681" s="12"/>
      <c r="L681" s="35"/>
    </row>
    <row r="682" spans="1:12" x14ac:dyDescent="0.25">
      <c r="A682" s="11"/>
      <c r="B682" s="11"/>
      <c r="C682" s="11"/>
      <c r="D682" s="11"/>
      <c r="E682" s="11"/>
      <c r="F682" s="11"/>
      <c r="G682" s="39"/>
      <c r="H682" s="11"/>
      <c r="I682" s="11"/>
      <c r="J682" s="11"/>
      <c r="K682" s="11"/>
      <c r="L682" s="34"/>
    </row>
    <row r="683" spans="1:12" x14ac:dyDescent="0.25">
      <c r="A683" s="12"/>
      <c r="B683" s="12"/>
      <c r="C683" s="12"/>
      <c r="D683" s="12"/>
      <c r="E683" s="12"/>
      <c r="F683" s="12"/>
      <c r="G683" s="38"/>
      <c r="H683" s="12"/>
      <c r="I683" s="12"/>
      <c r="J683" s="12"/>
      <c r="K683" s="12"/>
      <c r="L683" s="35"/>
    </row>
    <row r="684" spans="1:12" x14ac:dyDescent="0.25">
      <c r="A684" s="11"/>
      <c r="B684" s="11"/>
      <c r="C684" s="11"/>
      <c r="D684" s="11"/>
      <c r="E684" s="11"/>
      <c r="F684" s="11"/>
      <c r="G684" s="39"/>
      <c r="H684" s="11"/>
      <c r="I684" s="11"/>
      <c r="J684" s="11"/>
      <c r="K684" s="11"/>
      <c r="L684" s="34"/>
    </row>
    <row r="685" spans="1:12" x14ac:dyDescent="0.25">
      <c r="A685" s="12"/>
      <c r="B685" s="12"/>
      <c r="C685" s="12"/>
      <c r="D685" s="12"/>
      <c r="E685" s="12"/>
      <c r="F685" s="12"/>
      <c r="G685" s="38"/>
      <c r="H685" s="12"/>
      <c r="I685" s="12"/>
      <c r="J685" s="12"/>
      <c r="K685" s="12"/>
      <c r="L685" s="35"/>
    </row>
    <row r="686" spans="1:12" x14ac:dyDescent="0.25">
      <c r="A686" s="11"/>
      <c r="B686" s="11"/>
      <c r="C686" s="11"/>
      <c r="D686" s="11"/>
      <c r="E686" s="11"/>
      <c r="F686" s="11"/>
      <c r="G686" s="39"/>
      <c r="H686" s="11"/>
      <c r="I686" s="11"/>
      <c r="J686" s="11"/>
      <c r="K686" s="11"/>
      <c r="L686" s="34"/>
    </row>
    <row r="687" spans="1:12" x14ac:dyDescent="0.25">
      <c r="A687" s="12"/>
      <c r="B687" s="12"/>
      <c r="C687" s="12"/>
      <c r="D687" s="12"/>
      <c r="E687" s="12"/>
      <c r="F687" s="12"/>
      <c r="G687" s="38"/>
      <c r="H687" s="12"/>
      <c r="I687" s="12"/>
      <c r="J687" s="12"/>
      <c r="K687" s="12"/>
      <c r="L687" s="35"/>
    </row>
    <row r="688" spans="1:12" x14ac:dyDescent="0.25">
      <c r="A688" s="11"/>
      <c r="B688" s="11"/>
      <c r="C688" s="11"/>
      <c r="D688" s="11"/>
      <c r="E688" s="11"/>
      <c r="F688" s="11"/>
      <c r="G688" s="39"/>
      <c r="H688" s="11"/>
      <c r="I688" s="11"/>
      <c r="J688" s="11"/>
      <c r="K688" s="11"/>
      <c r="L688" s="34"/>
    </row>
    <row r="689" spans="1:12" x14ac:dyDescent="0.25">
      <c r="A689" s="12"/>
      <c r="B689" s="12"/>
      <c r="C689" s="12"/>
      <c r="D689" s="12"/>
      <c r="E689" s="12"/>
      <c r="F689" s="12"/>
      <c r="G689" s="38"/>
      <c r="H689" s="12"/>
      <c r="I689" s="12"/>
      <c r="J689" s="12"/>
      <c r="K689" s="12"/>
      <c r="L689" s="35"/>
    </row>
    <row r="690" spans="1:12" x14ac:dyDescent="0.25">
      <c r="A690" s="11"/>
      <c r="B690" s="11"/>
      <c r="C690" s="11"/>
      <c r="D690" s="11"/>
      <c r="E690" s="11"/>
      <c r="F690" s="11"/>
      <c r="G690" s="39"/>
      <c r="H690" s="11"/>
      <c r="I690" s="11"/>
      <c r="J690" s="11"/>
      <c r="K690" s="11"/>
      <c r="L690" s="34"/>
    </row>
    <row r="691" spans="1:12" x14ac:dyDescent="0.25">
      <c r="A691" s="12"/>
      <c r="B691" s="12"/>
      <c r="C691" s="12"/>
      <c r="D691" s="12"/>
      <c r="E691" s="12"/>
      <c r="F691" s="12"/>
      <c r="G691" s="38"/>
      <c r="H691" s="12"/>
      <c r="I691" s="12"/>
      <c r="J691" s="12"/>
      <c r="K691" s="12"/>
      <c r="L691" s="35"/>
    </row>
    <row r="692" spans="1:12" x14ac:dyDescent="0.25">
      <c r="A692" s="11"/>
      <c r="B692" s="11"/>
      <c r="C692" s="11"/>
      <c r="D692" s="11"/>
      <c r="E692" s="11"/>
      <c r="F692" s="11"/>
      <c r="G692" s="39"/>
      <c r="H692" s="11"/>
      <c r="I692" s="11"/>
      <c r="J692" s="11"/>
      <c r="K692" s="11"/>
      <c r="L692" s="34"/>
    </row>
    <row r="693" spans="1:12" x14ac:dyDescent="0.25">
      <c r="A693" s="12"/>
      <c r="B693" s="12"/>
      <c r="C693" s="12"/>
      <c r="D693" s="12"/>
      <c r="E693" s="12"/>
      <c r="F693" s="12"/>
      <c r="G693" s="38"/>
      <c r="H693" s="12"/>
      <c r="I693" s="12"/>
      <c r="J693" s="12"/>
      <c r="K693" s="12"/>
      <c r="L693" s="35"/>
    </row>
    <row r="694" spans="1:12" x14ac:dyDescent="0.25">
      <c r="A694" s="11"/>
      <c r="B694" s="11"/>
      <c r="C694" s="11"/>
      <c r="D694" s="11"/>
      <c r="E694" s="11"/>
      <c r="F694" s="11"/>
      <c r="G694" s="39"/>
      <c r="H694" s="11"/>
      <c r="I694" s="11"/>
      <c r="J694" s="11"/>
      <c r="K694" s="11"/>
      <c r="L694" s="34"/>
    </row>
    <row r="695" spans="1:12" x14ac:dyDescent="0.25">
      <c r="A695" s="12"/>
      <c r="B695" s="12"/>
      <c r="C695" s="12"/>
      <c r="D695" s="12"/>
      <c r="E695" s="12"/>
      <c r="F695" s="12"/>
      <c r="G695" s="38"/>
      <c r="H695" s="12"/>
      <c r="I695" s="12"/>
      <c r="J695" s="12"/>
      <c r="K695" s="12"/>
      <c r="L695" s="35"/>
    </row>
    <row r="696" spans="1:12" x14ac:dyDescent="0.25">
      <c r="A696" s="11"/>
      <c r="B696" s="11"/>
      <c r="C696" s="11"/>
      <c r="D696" s="11"/>
      <c r="E696" s="11"/>
      <c r="F696" s="11"/>
      <c r="G696" s="39"/>
      <c r="H696" s="11"/>
      <c r="I696" s="11"/>
      <c r="J696" s="11"/>
      <c r="K696" s="11"/>
      <c r="L696" s="34"/>
    </row>
    <row r="697" spans="1:12" x14ac:dyDescent="0.25">
      <c r="A697" s="12"/>
      <c r="B697" s="12"/>
      <c r="C697" s="12"/>
      <c r="D697" s="12"/>
      <c r="E697" s="12"/>
      <c r="F697" s="12"/>
      <c r="G697" s="38"/>
      <c r="H697" s="12"/>
      <c r="I697" s="12"/>
      <c r="J697" s="12"/>
      <c r="K697" s="12"/>
      <c r="L697" s="35"/>
    </row>
    <row r="698" spans="1:12" x14ac:dyDescent="0.25">
      <c r="A698" s="11"/>
      <c r="B698" s="11"/>
      <c r="C698" s="11"/>
      <c r="D698" s="11"/>
      <c r="E698" s="11"/>
      <c r="F698" s="11"/>
      <c r="G698" s="39"/>
      <c r="H698" s="11"/>
      <c r="I698" s="11"/>
      <c r="J698" s="11"/>
      <c r="K698" s="11"/>
      <c r="L698" s="34"/>
    </row>
    <row r="699" spans="1:12" x14ac:dyDescent="0.25">
      <c r="A699" s="12"/>
      <c r="B699" s="12"/>
      <c r="C699" s="12"/>
      <c r="D699" s="12"/>
      <c r="E699" s="12"/>
      <c r="F699" s="12"/>
      <c r="G699" s="38"/>
      <c r="H699" s="12"/>
      <c r="I699" s="12"/>
      <c r="J699" s="12"/>
      <c r="K699" s="12"/>
      <c r="L699" s="35"/>
    </row>
    <row r="700" spans="1:12" x14ac:dyDescent="0.25">
      <c r="A700" s="11"/>
      <c r="B700" s="11"/>
      <c r="C700" s="11"/>
      <c r="D700" s="11"/>
      <c r="E700" s="11"/>
      <c r="F700" s="11"/>
      <c r="G700" s="39"/>
      <c r="H700" s="11"/>
      <c r="I700" s="11"/>
      <c r="J700" s="11"/>
      <c r="K700" s="11"/>
      <c r="L700" s="34"/>
    </row>
    <row r="701" spans="1:12" x14ac:dyDescent="0.25">
      <c r="A701" s="12"/>
      <c r="B701" s="12"/>
      <c r="C701" s="12"/>
      <c r="D701" s="12"/>
      <c r="E701" s="12"/>
      <c r="F701" s="12"/>
      <c r="G701" s="38"/>
      <c r="H701" s="12"/>
      <c r="I701" s="12"/>
      <c r="J701" s="12"/>
      <c r="K701" s="12"/>
      <c r="L701" s="35"/>
    </row>
    <row r="702" spans="1:12" x14ac:dyDescent="0.25">
      <c r="A702" s="11"/>
      <c r="B702" s="11"/>
      <c r="C702" s="11"/>
      <c r="D702" s="11"/>
      <c r="E702" s="11"/>
      <c r="F702" s="11"/>
      <c r="G702" s="39"/>
      <c r="H702" s="11"/>
      <c r="I702" s="11"/>
      <c r="J702" s="11"/>
      <c r="K702" s="11"/>
      <c r="L702" s="34"/>
    </row>
    <row r="703" spans="1:12" x14ac:dyDescent="0.25">
      <c r="A703" s="12"/>
      <c r="B703" s="12"/>
      <c r="C703" s="12"/>
      <c r="D703" s="12"/>
      <c r="E703" s="12"/>
      <c r="F703" s="12"/>
      <c r="G703" s="38"/>
      <c r="H703" s="12"/>
      <c r="I703" s="12"/>
      <c r="J703" s="12"/>
      <c r="K703" s="12"/>
      <c r="L703" s="35"/>
    </row>
    <row r="704" spans="1:12" x14ac:dyDescent="0.25">
      <c r="A704" s="11"/>
      <c r="B704" s="11"/>
      <c r="C704" s="11"/>
      <c r="D704" s="11"/>
      <c r="E704" s="11"/>
      <c r="F704" s="11"/>
      <c r="G704" s="39"/>
      <c r="H704" s="11"/>
      <c r="I704" s="11"/>
      <c r="J704" s="11"/>
      <c r="K704" s="11"/>
      <c r="L704" s="34"/>
    </row>
    <row r="705" spans="1:12" x14ac:dyDescent="0.25">
      <c r="A705" s="12"/>
      <c r="B705" s="12"/>
      <c r="C705" s="12"/>
      <c r="D705" s="12"/>
      <c r="E705" s="12"/>
      <c r="F705" s="12"/>
      <c r="G705" s="38"/>
      <c r="H705" s="12"/>
      <c r="I705" s="12"/>
      <c r="J705" s="12"/>
      <c r="K705" s="12"/>
      <c r="L705" s="35"/>
    </row>
    <row r="706" spans="1:12" x14ac:dyDescent="0.25">
      <c r="A706" s="11"/>
      <c r="B706" s="11"/>
      <c r="C706" s="11"/>
      <c r="D706" s="11"/>
      <c r="E706" s="11"/>
      <c r="F706" s="11"/>
      <c r="G706" s="39"/>
      <c r="H706" s="11"/>
      <c r="I706" s="11"/>
      <c r="J706" s="11"/>
      <c r="K706" s="11"/>
      <c r="L706" s="34"/>
    </row>
    <row r="707" spans="1:12" x14ac:dyDescent="0.25">
      <c r="A707" s="12"/>
      <c r="B707" s="12"/>
      <c r="C707" s="12"/>
      <c r="D707" s="12"/>
      <c r="E707" s="12"/>
      <c r="F707" s="12"/>
      <c r="G707" s="38"/>
      <c r="H707" s="12"/>
      <c r="I707" s="12"/>
      <c r="J707" s="12"/>
      <c r="K707" s="12"/>
      <c r="L707" s="35"/>
    </row>
    <row r="708" spans="1:12" x14ac:dyDescent="0.25">
      <c r="A708" s="11"/>
      <c r="B708" s="11"/>
      <c r="C708" s="11"/>
      <c r="D708" s="11"/>
      <c r="E708" s="11"/>
      <c r="F708" s="11"/>
      <c r="G708" s="39"/>
      <c r="H708" s="11"/>
      <c r="I708" s="11"/>
      <c r="J708" s="11"/>
      <c r="K708" s="11"/>
      <c r="L708" s="34"/>
    </row>
    <row r="709" spans="1:12" x14ac:dyDescent="0.25">
      <c r="A709" s="12"/>
      <c r="B709" s="12"/>
      <c r="C709" s="12"/>
      <c r="D709" s="12"/>
      <c r="E709" s="12"/>
      <c r="F709" s="12"/>
      <c r="G709" s="38"/>
      <c r="H709" s="12"/>
      <c r="I709" s="12"/>
      <c r="J709" s="12"/>
      <c r="K709" s="12"/>
      <c r="L709" s="35"/>
    </row>
    <row r="710" spans="1:12" x14ac:dyDescent="0.25">
      <c r="A710" s="11"/>
      <c r="B710" s="11"/>
      <c r="C710" s="11"/>
      <c r="D710" s="11"/>
      <c r="E710" s="11"/>
      <c r="F710" s="11"/>
      <c r="G710" s="39"/>
      <c r="H710" s="11"/>
      <c r="I710" s="11"/>
      <c r="J710" s="11"/>
      <c r="K710" s="11"/>
      <c r="L710" s="34"/>
    </row>
    <row r="711" spans="1:12" x14ac:dyDescent="0.25">
      <c r="A711" s="12"/>
      <c r="B711" s="12"/>
      <c r="C711" s="12"/>
      <c r="D711" s="12"/>
      <c r="E711" s="12"/>
      <c r="F711" s="12"/>
      <c r="G711" s="38"/>
      <c r="H711" s="12"/>
      <c r="I711" s="12"/>
      <c r="J711" s="12"/>
      <c r="K711" s="12"/>
      <c r="L711" s="35"/>
    </row>
    <row r="712" spans="1:12" x14ac:dyDescent="0.25">
      <c r="A712" s="11"/>
      <c r="B712" s="11"/>
      <c r="C712" s="11"/>
      <c r="D712" s="11"/>
      <c r="E712" s="11"/>
      <c r="F712" s="11"/>
      <c r="G712" s="39"/>
      <c r="H712" s="11"/>
      <c r="I712" s="11"/>
      <c r="J712" s="11"/>
      <c r="K712" s="11"/>
      <c r="L712" s="34"/>
    </row>
    <row r="713" spans="1:12" x14ac:dyDescent="0.25">
      <c r="A713" s="12"/>
      <c r="B713" s="12"/>
      <c r="C713" s="12"/>
      <c r="D713" s="12"/>
      <c r="E713" s="12"/>
      <c r="F713" s="12"/>
      <c r="G713" s="38"/>
      <c r="H713" s="12"/>
      <c r="I713" s="12"/>
      <c r="J713" s="12"/>
      <c r="K713" s="12"/>
      <c r="L713" s="35"/>
    </row>
    <row r="714" spans="1:12" x14ac:dyDescent="0.25">
      <c r="A714" s="11"/>
      <c r="B714" s="11"/>
      <c r="C714" s="11"/>
      <c r="D714" s="11"/>
      <c r="E714" s="11"/>
      <c r="F714" s="11"/>
      <c r="G714" s="39"/>
      <c r="H714" s="11"/>
      <c r="I714" s="11"/>
      <c r="J714" s="11"/>
      <c r="K714" s="11"/>
      <c r="L714" s="34"/>
    </row>
    <row r="715" spans="1:12" x14ac:dyDescent="0.25">
      <c r="A715" s="12"/>
      <c r="B715" s="12"/>
      <c r="C715" s="12"/>
      <c r="D715" s="12"/>
      <c r="E715" s="12"/>
      <c r="F715" s="12"/>
      <c r="G715" s="38"/>
      <c r="H715" s="12"/>
      <c r="I715" s="12"/>
      <c r="J715" s="12"/>
      <c r="K715" s="12"/>
      <c r="L715" s="35"/>
    </row>
    <row r="716" spans="1:12" x14ac:dyDescent="0.25">
      <c r="A716" s="11"/>
      <c r="B716" s="11"/>
      <c r="C716" s="11"/>
      <c r="D716" s="11"/>
      <c r="E716" s="11"/>
      <c r="F716" s="11"/>
      <c r="G716" s="39"/>
      <c r="H716" s="11"/>
      <c r="I716" s="11"/>
      <c r="J716" s="11"/>
      <c r="K716" s="11"/>
      <c r="L716" s="34"/>
    </row>
    <row r="717" spans="1:12" x14ac:dyDescent="0.25">
      <c r="A717" s="12"/>
      <c r="B717" s="12"/>
      <c r="C717" s="12"/>
      <c r="D717" s="12"/>
      <c r="E717" s="12"/>
      <c r="F717" s="12"/>
      <c r="G717" s="38"/>
      <c r="H717" s="12"/>
      <c r="I717" s="12"/>
      <c r="J717" s="12"/>
      <c r="K717" s="12"/>
      <c r="L717" s="35"/>
    </row>
    <row r="718" spans="1:12" x14ac:dyDescent="0.25">
      <c r="A718" s="11"/>
      <c r="B718" s="11"/>
      <c r="C718" s="11"/>
      <c r="D718" s="11"/>
      <c r="E718" s="11"/>
      <c r="F718" s="11"/>
      <c r="G718" s="39"/>
      <c r="H718" s="11"/>
      <c r="I718" s="11"/>
      <c r="J718" s="11"/>
      <c r="K718" s="11"/>
      <c r="L718" s="34"/>
    </row>
    <row r="719" spans="1:12" x14ac:dyDescent="0.25">
      <c r="A719" s="12"/>
      <c r="B719" s="12"/>
      <c r="C719" s="12"/>
      <c r="D719" s="12"/>
      <c r="E719" s="12"/>
      <c r="F719" s="12"/>
      <c r="G719" s="38"/>
      <c r="H719" s="12"/>
      <c r="I719" s="12"/>
      <c r="J719" s="12"/>
      <c r="K719" s="12"/>
      <c r="L719" s="35"/>
    </row>
    <row r="720" spans="1:12" x14ac:dyDescent="0.25">
      <c r="A720" s="11"/>
      <c r="B720" s="11"/>
      <c r="C720" s="11"/>
      <c r="D720" s="11"/>
      <c r="E720" s="11"/>
      <c r="F720" s="11"/>
      <c r="G720" s="39"/>
      <c r="H720" s="11"/>
      <c r="I720" s="11"/>
      <c r="J720" s="11"/>
      <c r="K720" s="11"/>
      <c r="L720" s="34"/>
    </row>
    <row r="721" spans="1:12" x14ac:dyDescent="0.25">
      <c r="A721" s="12"/>
      <c r="B721" s="12"/>
      <c r="C721" s="12"/>
      <c r="D721" s="12"/>
      <c r="E721" s="12"/>
      <c r="F721" s="12"/>
      <c r="G721" s="38"/>
      <c r="H721" s="12"/>
      <c r="I721" s="12"/>
      <c r="J721" s="12"/>
      <c r="K721" s="12"/>
      <c r="L721" s="35"/>
    </row>
    <row r="722" spans="1:12" x14ac:dyDescent="0.25">
      <c r="A722" s="11"/>
      <c r="B722" s="11"/>
      <c r="C722" s="11"/>
      <c r="D722" s="11"/>
      <c r="E722" s="11"/>
      <c r="F722" s="11"/>
      <c r="G722" s="39"/>
      <c r="H722" s="11"/>
      <c r="I722" s="11"/>
      <c r="J722" s="11"/>
      <c r="K722" s="11"/>
      <c r="L722" s="34"/>
    </row>
    <row r="723" spans="1:12" x14ac:dyDescent="0.25">
      <c r="A723" s="12"/>
      <c r="B723" s="12"/>
      <c r="C723" s="12"/>
      <c r="D723" s="12"/>
      <c r="E723" s="12"/>
      <c r="F723" s="12"/>
      <c r="G723" s="38"/>
      <c r="H723" s="12"/>
      <c r="I723" s="12"/>
      <c r="J723" s="12"/>
      <c r="K723" s="12"/>
      <c r="L723" s="35"/>
    </row>
    <row r="724" spans="1:12" x14ac:dyDescent="0.25">
      <c r="A724" s="11"/>
      <c r="B724" s="11"/>
      <c r="C724" s="11"/>
      <c r="D724" s="11"/>
      <c r="E724" s="11"/>
      <c r="F724" s="11"/>
      <c r="G724" s="39"/>
      <c r="H724" s="11"/>
      <c r="I724" s="11"/>
      <c r="J724" s="11"/>
      <c r="K724" s="11"/>
      <c r="L724" s="34"/>
    </row>
    <row r="725" spans="1:12" x14ac:dyDescent="0.25">
      <c r="A725" s="12"/>
      <c r="B725" s="12"/>
      <c r="C725" s="12"/>
      <c r="D725" s="12"/>
      <c r="E725" s="12"/>
      <c r="F725" s="12"/>
      <c r="G725" s="38"/>
      <c r="H725" s="12"/>
      <c r="I725" s="12"/>
      <c r="J725" s="12"/>
      <c r="K725" s="12"/>
      <c r="L725" s="35"/>
    </row>
    <row r="726" spans="1:12" x14ac:dyDescent="0.25">
      <c r="A726" s="11"/>
      <c r="B726" s="11"/>
      <c r="C726" s="11"/>
      <c r="D726" s="11"/>
      <c r="E726" s="11"/>
      <c r="F726" s="11"/>
      <c r="G726" s="39"/>
      <c r="H726" s="11"/>
      <c r="I726" s="11"/>
      <c r="J726" s="11"/>
      <c r="K726" s="11"/>
      <c r="L726" s="34"/>
    </row>
    <row r="727" spans="1:12" x14ac:dyDescent="0.25">
      <c r="A727" s="12"/>
      <c r="B727" s="12"/>
      <c r="C727" s="12"/>
      <c r="D727" s="12"/>
      <c r="E727" s="12"/>
      <c r="F727" s="12"/>
      <c r="G727" s="38"/>
      <c r="H727" s="12"/>
      <c r="I727" s="12"/>
      <c r="J727" s="12"/>
      <c r="K727" s="12"/>
      <c r="L727" s="35"/>
    </row>
    <row r="728" spans="1:12" x14ac:dyDescent="0.25">
      <c r="A728" s="11"/>
      <c r="B728" s="11"/>
      <c r="C728" s="11"/>
      <c r="D728" s="11"/>
      <c r="E728" s="11"/>
      <c r="F728" s="11"/>
      <c r="G728" s="39"/>
      <c r="H728" s="11"/>
      <c r="I728" s="11"/>
      <c r="J728" s="11"/>
      <c r="K728" s="11"/>
      <c r="L728" s="34"/>
    </row>
    <row r="729" spans="1:12" x14ac:dyDescent="0.25">
      <c r="A729" s="12"/>
      <c r="B729" s="12"/>
      <c r="C729" s="12"/>
      <c r="D729" s="12"/>
      <c r="E729" s="12"/>
      <c r="F729" s="12"/>
      <c r="G729" s="38"/>
      <c r="H729" s="12"/>
      <c r="I729" s="12"/>
      <c r="J729" s="12"/>
      <c r="K729" s="12"/>
      <c r="L729" s="35"/>
    </row>
    <row r="730" spans="1:12" x14ac:dyDescent="0.25">
      <c r="A730" s="11"/>
      <c r="B730" s="11"/>
      <c r="C730" s="11"/>
      <c r="D730" s="11"/>
      <c r="E730" s="11"/>
      <c r="F730" s="11"/>
      <c r="G730" s="39"/>
      <c r="H730" s="11"/>
      <c r="I730" s="11"/>
      <c r="J730" s="11"/>
      <c r="K730" s="11"/>
      <c r="L730" s="34"/>
    </row>
    <row r="731" spans="1:12" x14ac:dyDescent="0.25">
      <c r="A731" s="12"/>
      <c r="B731" s="12"/>
      <c r="C731" s="12"/>
      <c r="D731" s="12"/>
      <c r="E731" s="12"/>
      <c r="F731" s="12"/>
      <c r="G731" s="38"/>
      <c r="H731" s="12"/>
      <c r="I731" s="12"/>
      <c r="J731" s="12"/>
      <c r="K731" s="12"/>
      <c r="L731" s="35"/>
    </row>
    <row r="732" spans="1:12" x14ac:dyDescent="0.25">
      <c r="A732" s="11"/>
      <c r="B732" s="11"/>
      <c r="C732" s="11"/>
      <c r="D732" s="11"/>
      <c r="E732" s="11"/>
      <c r="F732" s="11"/>
      <c r="G732" s="39"/>
      <c r="H732" s="11"/>
      <c r="I732" s="11"/>
      <c r="J732" s="11"/>
      <c r="K732" s="11"/>
      <c r="L732" s="34"/>
    </row>
    <row r="733" spans="1:12" x14ac:dyDescent="0.25">
      <c r="A733" s="12"/>
      <c r="B733" s="12"/>
      <c r="C733" s="12"/>
      <c r="D733" s="12"/>
      <c r="E733" s="12"/>
      <c r="F733" s="12"/>
      <c r="G733" s="38"/>
      <c r="H733" s="12"/>
      <c r="I733" s="12"/>
      <c r="J733" s="12"/>
      <c r="K733" s="12"/>
      <c r="L733" s="35"/>
    </row>
    <row r="734" spans="1:12" x14ac:dyDescent="0.25">
      <c r="A734" s="11"/>
      <c r="B734" s="11"/>
      <c r="C734" s="11"/>
      <c r="D734" s="11"/>
      <c r="E734" s="11"/>
      <c r="F734" s="11"/>
      <c r="G734" s="39"/>
      <c r="H734" s="11"/>
      <c r="I734" s="11"/>
      <c r="J734" s="11"/>
      <c r="K734" s="11"/>
      <c r="L734" s="34"/>
    </row>
    <row r="735" spans="1:12" x14ac:dyDescent="0.25">
      <c r="A735" s="12"/>
      <c r="B735" s="12"/>
      <c r="C735" s="12"/>
      <c r="D735" s="12"/>
      <c r="E735" s="12"/>
      <c r="F735" s="12"/>
      <c r="G735" s="38"/>
      <c r="H735" s="12"/>
      <c r="I735" s="12"/>
      <c r="J735" s="12"/>
      <c r="K735" s="12"/>
      <c r="L735" s="35"/>
    </row>
    <row r="736" spans="1:12" x14ac:dyDescent="0.25">
      <c r="A736" s="11"/>
      <c r="B736" s="11"/>
      <c r="C736" s="11"/>
      <c r="D736" s="11"/>
      <c r="E736" s="11"/>
      <c r="F736" s="11"/>
      <c r="G736" s="39"/>
      <c r="H736" s="11"/>
      <c r="I736" s="11"/>
      <c r="J736" s="11"/>
      <c r="K736" s="11"/>
      <c r="L736" s="34"/>
    </row>
    <row r="737" spans="1:12" x14ac:dyDescent="0.25">
      <c r="A737" s="12"/>
      <c r="B737" s="12"/>
      <c r="C737" s="12"/>
      <c r="D737" s="12"/>
      <c r="E737" s="12"/>
      <c r="F737" s="12"/>
      <c r="G737" s="38"/>
      <c r="H737" s="12"/>
      <c r="I737" s="12"/>
      <c r="J737" s="12"/>
      <c r="K737" s="12"/>
      <c r="L737" s="35"/>
    </row>
    <row r="738" spans="1:12" x14ac:dyDescent="0.25">
      <c r="A738" s="11"/>
      <c r="B738" s="11"/>
      <c r="C738" s="11"/>
      <c r="D738" s="11"/>
      <c r="E738" s="11"/>
      <c r="F738" s="11"/>
      <c r="G738" s="39"/>
      <c r="H738" s="11"/>
      <c r="I738" s="11"/>
      <c r="J738" s="11"/>
      <c r="K738" s="11"/>
      <c r="L738" s="34"/>
    </row>
    <row r="739" spans="1:12" x14ac:dyDescent="0.25">
      <c r="A739" s="12"/>
      <c r="B739" s="12"/>
      <c r="C739" s="12"/>
      <c r="D739" s="12"/>
      <c r="E739" s="12"/>
      <c r="F739" s="12"/>
      <c r="G739" s="38"/>
      <c r="H739" s="12"/>
      <c r="I739" s="12"/>
      <c r="J739" s="12"/>
      <c r="K739" s="12"/>
      <c r="L739" s="35"/>
    </row>
    <row r="740" spans="1:12" x14ac:dyDescent="0.25">
      <c r="A740" s="11"/>
      <c r="B740" s="11"/>
      <c r="C740" s="11"/>
      <c r="D740" s="11"/>
      <c r="E740" s="11"/>
      <c r="F740" s="11"/>
      <c r="G740" s="39"/>
      <c r="H740" s="11"/>
      <c r="I740" s="11"/>
      <c r="J740" s="11"/>
      <c r="K740" s="11"/>
      <c r="L740" s="34"/>
    </row>
    <row r="741" spans="1:12" x14ac:dyDescent="0.25">
      <c r="A741" s="12"/>
      <c r="B741" s="12"/>
      <c r="C741" s="12"/>
      <c r="D741" s="12"/>
      <c r="E741" s="12"/>
      <c r="F741" s="12"/>
      <c r="G741" s="38"/>
      <c r="H741" s="12"/>
      <c r="I741" s="12"/>
      <c r="J741" s="12"/>
      <c r="K741" s="12"/>
      <c r="L741" s="35"/>
    </row>
    <row r="742" spans="1:12" x14ac:dyDescent="0.25">
      <c r="A742" s="11"/>
      <c r="B742" s="11"/>
      <c r="C742" s="11"/>
      <c r="D742" s="11"/>
      <c r="E742" s="11"/>
      <c r="F742" s="11"/>
      <c r="G742" s="39"/>
      <c r="H742" s="11"/>
      <c r="I742" s="11"/>
      <c r="J742" s="11"/>
      <c r="K742" s="11"/>
      <c r="L742" s="34"/>
    </row>
    <row r="743" spans="1:12" x14ac:dyDescent="0.25">
      <c r="A743" s="12"/>
      <c r="B743" s="12"/>
      <c r="C743" s="12"/>
      <c r="D743" s="12"/>
      <c r="E743" s="12"/>
      <c r="F743" s="12"/>
      <c r="G743" s="38"/>
      <c r="H743" s="12"/>
      <c r="I743" s="12"/>
      <c r="J743" s="12"/>
      <c r="K743" s="12"/>
      <c r="L743" s="35"/>
    </row>
    <row r="744" spans="1:12" x14ac:dyDescent="0.25">
      <c r="A744" s="11"/>
      <c r="B744" s="11"/>
      <c r="C744" s="11"/>
      <c r="D744" s="11"/>
      <c r="E744" s="11"/>
      <c r="F744" s="11"/>
      <c r="G744" s="39"/>
      <c r="H744" s="11"/>
      <c r="I744" s="11"/>
      <c r="J744" s="11"/>
      <c r="K744" s="11"/>
      <c r="L744" s="34"/>
    </row>
    <row r="745" spans="1:12" x14ac:dyDescent="0.25">
      <c r="A745" s="12"/>
      <c r="B745" s="12"/>
      <c r="C745" s="12"/>
      <c r="D745" s="12"/>
      <c r="E745" s="12"/>
      <c r="F745" s="12"/>
      <c r="G745" s="38"/>
      <c r="H745" s="12"/>
      <c r="I745" s="12"/>
      <c r="J745" s="12"/>
      <c r="K745" s="12"/>
      <c r="L745" s="35"/>
    </row>
  </sheetData>
  <sheetProtection algorithmName="SHA-512" hashValue="nXb7ljzT5jzPVF7mPXq8DPf+9mnAeJoPLo8Ddv4TNUdzegut2hXfgjal/tN264BWr+/o9h21Om70Q1nyaf1HqA==" saltValue="oNu9QqucAOzCEYVWK+B1Pg==" spinCount="100000" sheet="1" objects="1" scenarios="1" selectLockedCells="1" sort="0" autoFilter="0"/>
  <autoFilter ref="A10:L19" xr:uid="{F92A80B0-CBC6-43E3-9362-BC8C06ADBD22}"/>
  <mergeCells count="1">
    <mergeCell ref="A6:C7"/>
  </mergeCells>
  <pageMargins left="0.70866141732283472" right="0.70866141732283472" top="0.74803149606299213" bottom="0.74803149606299213" header="0.31496062992125984" footer="0.31496062992125984"/>
  <pageSetup paperSize="9" scale="4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Go_home">
                <anchor moveWithCells="1" sizeWithCells="1">
                  <from>
                    <xdr:col>10</xdr:col>
                    <xdr:colOff>571500</xdr:colOff>
                    <xdr:row>5</xdr:row>
                    <xdr:rowOff>38100</xdr:rowOff>
                  </from>
                  <to>
                    <xdr:col>11</xdr:col>
                    <xdr:colOff>381000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Export_staff_details">
                <anchor moveWithCells="1">
                  <from>
                    <xdr:col>12</xdr:col>
                    <xdr:colOff>923925</xdr:colOff>
                    <xdr:row>5</xdr:row>
                    <xdr:rowOff>38100</xdr:rowOff>
                  </from>
                  <to>
                    <xdr:col>12</xdr:col>
                    <xdr:colOff>1809750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go_Wages">
                <anchor moveWithCells="1" sizeWithCells="1">
                  <from>
                    <xdr:col>11</xdr:col>
                    <xdr:colOff>457200</xdr:colOff>
                    <xdr:row>5</xdr:row>
                    <xdr:rowOff>47625</xdr:rowOff>
                  </from>
                  <to>
                    <xdr:col>11</xdr:col>
                    <xdr:colOff>1209675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167AD-C8AA-4DD4-9A42-CE851CD7C6C1}">
  <sheetPr codeName="Sheet12">
    <tabColor rgb="FFFFC000"/>
  </sheetPr>
  <dimension ref="A1:AF189"/>
  <sheetViews>
    <sheetView zoomScale="96" zoomScaleNormal="96" workbookViewId="0">
      <selection activeCell="E18" sqref="E18"/>
    </sheetView>
  </sheetViews>
  <sheetFormatPr defaultRowHeight="15" x14ac:dyDescent="0.25"/>
  <cols>
    <col min="1" max="1" width="17.140625" style="14" customWidth="1"/>
    <col min="2" max="2" width="16.42578125" customWidth="1"/>
    <col min="3" max="3" width="13" customWidth="1"/>
    <col min="4" max="4" width="17.5703125" customWidth="1"/>
    <col min="5" max="5" width="14" customWidth="1"/>
    <col min="6" max="6" width="13.7109375" customWidth="1"/>
    <col min="7" max="7" width="16" style="92" customWidth="1"/>
    <col min="8" max="8" width="14.28515625" customWidth="1"/>
    <col min="9" max="9" width="17.5703125" customWidth="1"/>
    <col min="10" max="10" width="28.5703125" customWidth="1"/>
    <col min="11" max="11" width="21.5703125" customWidth="1"/>
    <col min="12" max="12" width="10.7109375" style="14" customWidth="1"/>
    <col min="13" max="13" width="13.42578125" style="14" customWidth="1"/>
    <col min="14" max="14" width="11" style="14" customWidth="1"/>
    <col min="15" max="15" width="10.7109375" style="14" customWidth="1"/>
    <col min="16" max="32" width="9.140625" style="14"/>
  </cols>
  <sheetData>
    <row r="1" spans="1:15" x14ac:dyDescent="0.25">
      <c r="B1" s="14"/>
      <c r="C1" s="14"/>
      <c r="D1" s="14"/>
      <c r="E1" s="14"/>
      <c r="F1" s="14"/>
      <c r="G1" s="19"/>
      <c r="H1" s="14"/>
      <c r="I1" s="14"/>
      <c r="J1" s="14"/>
      <c r="K1" s="14"/>
    </row>
    <row r="2" spans="1:15" x14ac:dyDescent="0.25">
      <c r="B2" s="14"/>
      <c r="C2" s="14"/>
      <c r="D2" s="14"/>
      <c r="E2" s="14"/>
      <c r="F2" s="14"/>
      <c r="G2" s="19"/>
      <c r="H2" s="14"/>
      <c r="I2" s="14"/>
      <c r="J2" s="14"/>
      <c r="K2" s="14"/>
    </row>
    <row r="3" spans="1:15" x14ac:dyDescent="0.25">
      <c r="B3" s="14"/>
      <c r="C3" s="14"/>
      <c r="D3" s="14"/>
      <c r="E3" s="14"/>
      <c r="F3" s="14"/>
      <c r="G3" s="19"/>
      <c r="H3" s="14"/>
      <c r="I3" s="14"/>
      <c r="J3" s="14"/>
      <c r="K3" s="14"/>
    </row>
    <row r="4" spans="1:15" x14ac:dyDescent="0.25">
      <c r="B4" s="14"/>
      <c r="C4" s="14"/>
      <c r="D4" s="14"/>
      <c r="E4" s="14"/>
      <c r="F4" s="14"/>
      <c r="G4" s="19"/>
      <c r="H4" s="14"/>
      <c r="I4" s="14"/>
      <c r="J4" s="14"/>
      <c r="K4" s="14"/>
    </row>
    <row r="5" spans="1:15" x14ac:dyDescent="0.25">
      <c r="B5" s="14"/>
      <c r="C5" s="14"/>
      <c r="D5" s="14"/>
      <c r="E5" s="14"/>
      <c r="F5" s="14"/>
      <c r="G5" s="19"/>
      <c r="H5" s="14"/>
      <c r="I5" s="14"/>
      <c r="J5" s="14"/>
      <c r="K5" s="14"/>
    </row>
    <row r="6" spans="1:15" ht="15" customHeight="1" x14ac:dyDescent="0.25">
      <c r="A6" s="17"/>
      <c r="B6" s="246" t="s">
        <v>181</v>
      </c>
      <c r="C6" s="246"/>
      <c r="D6" s="23"/>
      <c r="E6" s="23"/>
      <c r="F6" s="23"/>
      <c r="G6" s="88"/>
      <c r="H6" s="23"/>
      <c r="I6" s="23"/>
      <c r="J6" s="23"/>
      <c r="K6" s="23"/>
      <c r="L6" s="17"/>
      <c r="M6" s="17"/>
    </row>
    <row r="7" spans="1:15" ht="15" customHeight="1" x14ac:dyDescent="0.25">
      <c r="A7" s="17"/>
      <c r="B7" s="246"/>
      <c r="C7" s="246"/>
      <c r="D7" s="23"/>
      <c r="E7" s="23"/>
      <c r="F7" s="23"/>
      <c r="G7" s="88"/>
      <c r="H7" s="23"/>
      <c r="I7" s="23"/>
      <c r="J7" s="23"/>
      <c r="K7" s="23"/>
      <c r="L7" s="17"/>
      <c r="M7" s="17"/>
    </row>
    <row r="8" spans="1:15" x14ac:dyDescent="0.25">
      <c r="B8" s="14"/>
      <c r="C8" s="14"/>
      <c r="D8" s="14"/>
      <c r="E8" s="14"/>
      <c r="F8" s="14"/>
      <c r="G8" s="19"/>
      <c r="H8" s="14"/>
      <c r="I8" s="14"/>
      <c r="J8" s="14"/>
      <c r="K8" s="14"/>
    </row>
    <row r="9" spans="1:15" x14ac:dyDescent="0.25">
      <c r="B9" s="96" t="s">
        <v>126</v>
      </c>
      <c r="C9" s="149"/>
      <c r="D9" s="96"/>
      <c r="E9" s="96"/>
      <c r="F9" s="96"/>
      <c r="G9" s="145"/>
      <c r="H9" s="14"/>
      <c r="I9" s="14"/>
      <c r="J9" s="14"/>
      <c r="K9" s="14"/>
    </row>
    <row r="10" spans="1:15" x14ac:dyDescent="0.25">
      <c r="B10" s="96"/>
      <c r="C10" s="94"/>
      <c r="D10" s="96"/>
      <c r="E10" s="96"/>
      <c r="F10" s="96"/>
      <c r="G10" s="145"/>
      <c r="H10" s="14"/>
      <c r="I10" s="14"/>
      <c r="J10" s="14"/>
      <c r="K10" s="14"/>
    </row>
    <row r="11" spans="1:15" x14ac:dyDescent="0.25">
      <c r="B11" s="96"/>
      <c r="C11" s="96"/>
      <c r="D11" s="96"/>
      <c r="E11" s="96"/>
      <c r="F11" s="96"/>
      <c r="G11" s="145"/>
      <c r="H11" s="14"/>
      <c r="I11" s="14"/>
      <c r="J11" s="14"/>
      <c r="K11" s="14"/>
    </row>
    <row r="12" spans="1:15" x14ac:dyDescent="0.25">
      <c r="B12" s="96" t="s">
        <v>10</v>
      </c>
      <c r="C12" s="146" t="str">
        <f>IF(C9=0,"",VLOOKUP(C9,Staff1,2))</f>
        <v/>
      </c>
      <c r="D12" s="146" t="str">
        <f>IF(C9=0,"",VLOOKUP(C9,Staff1,3))</f>
        <v/>
      </c>
      <c r="E12" s="147" t="str">
        <f>IF(C9=0,"",VLOOKUP(C9,Staff1,4))</f>
        <v/>
      </c>
      <c r="F12" s="96"/>
      <c r="G12" s="145"/>
      <c r="H12" s="14"/>
      <c r="I12" s="14"/>
      <c r="J12" s="14"/>
      <c r="K12" s="14"/>
    </row>
    <row r="13" spans="1:15" x14ac:dyDescent="0.25">
      <c r="B13" s="96"/>
      <c r="C13" s="96"/>
      <c r="D13" s="96"/>
      <c r="E13" s="96"/>
      <c r="F13" s="96"/>
      <c r="G13" s="145"/>
      <c r="H13" s="14"/>
      <c r="I13" s="14"/>
      <c r="J13" s="14"/>
      <c r="K13" s="14"/>
      <c r="O13" s="32"/>
    </row>
    <row r="14" spans="1:15" x14ac:dyDescent="0.25">
      <c r="B14" s="117" t="s">
        <v>194</v>
      </c>
      <c r="C14" s="146" t="str">
        <f>IF(C9=0,"",VLOOKUP(C9,Staff1,5))</f>
        <v/>
      </c>
      <c r="D14" s="96"/>
      <c r="E14" s="96"/>
      <c r="F14" s="96"/>
      <c r="G14" s="145"/>
      <c r="H14" s="14"/>
      <c r="I14" s="14"/>
      <c r="J14" s="14"/>
      <c r="K14" s="14"/>
      <c r="O14" s="40">
        <v>45327</v>
      </c>
    </row>
    <row r="15" spans="1:15" x14ac:dyDescent="0.25">
      <c r="B15" s="96"/>
      <c r="C15" s="96"/>
      <c r="D15" s="96"/>
      <c r="E15" s="96"/>
      <c r="F15" s="96"/>
      <c r="G15" s="145"/>
      <c r="H15" s="14"/>
      <c r="I15" s="14"/>
      <c r="J15" s="14"/>
      <c r="K15" s="14"/>
      <c r="O15" s="40">
        <f>O14+7</f>
        <v>45334</v>
      </c>
    </row>
    <row r="16" spans="1:15" x14ac:dyDescent="0.25">
      <c r="B16" s="96" t="s">
        <v>136</v>
      </c>
      <c r="C16" s="145" t="str">
        <f>IF(C9=0,"",VLOOKUP(C9,Staff!A11:F300,6))</f>
        <v/>
      </c>
      <c r="D16" s="117" t="s">
        <v>138</v>
      </c>
      <c r="E16" s="96" t="str">
        <f>IF(C9=0,"",VLOOKUP(C9,Staff1,7))</f>
        <v/>
      </c>
      <c r="F16" s="96"/>
      <c r="G16" s="145"/>
      <c r="H16" s="14"/>
      <c r="I16" s="14"/>
      <c r="J16" s="14"/>
      <c r="K16" s="14"/>
      <c r="O16" s="40">
        <f>O15+7</f>
        <v>45341</v>
      </c>
    </row>
    <row r="17" spans="2:15" x14ac:dyDescent="0.25">
      <c r="B17" s="96"/>
      <c r="C17" s="96"/>
      <c r="D17" s="96"/>
      <c r="E17" s="96"/>
      <c r="F17" s="96"/>
      <c r="G17" s="145"/>
      <c r="H17" s="14"/>
      <c r="I17" s="14"/>
      <c r="J17" s="14"/>
      <c r="K17" s="14"/>
      <c r="O17" s="40">
        <f t="shared" ref="O17:O31" si="0">O16+7</f>
        <v>45348</v>
      </c>
    </row>
    <row r="18" spans="2:15" x14ac:dyDescent="0.25">
      <c r="B18" s="96" t="s">
        <v>137</v>
      </c>
      <c r="C18" s="97"/>
      <c r="D18" s="148" t="s">
        <v>139</v>
      </c>
      <c r="E18" s="139"/>
      <c r="F18" s="96"/>
      <c r="G18" s="145"/>
      <c r="H18" s="14"/>
      <c r="I18" s="14"/>
      <c r="J18" s="14"/>
      <c r="K18" s="14"/>
      <c r="O18" s="40">
        <f t="shared" si="0"/>
        <v>45355</v>
      </c>
    </row>
    <row r="19" spans="2:15" x14ac:dyDescent="0.25">
      <c r="B19" s="96"/>
      <c r="C19" s="96"/>
      <c r="D19" s="96"/>
      <c r="E19" s="96"/>
      <c r="F19" s="96"/>
      <c r="G19" s="145"/>
      <c r="H19" s="14"/>
      <c r="I19" s="14"/>
      <c r="J19" s="14"/>
      <c r="K19" s="14"/>
      <c r="O19" s="40">
        <f t="shared" si="0"/>
        <v>45362</v>
      </c>
    </row>
    <row r="20" spans="2:15" x14ac:dyDescent="0.25">
      <c r="B20" s="96" t="s">
        <v>140</v>
      </c>
      <c r="C20" s="145">
        <f>IF(C9=0,0,IF(C18&gt;40,(C18-40)*C16*E16+40*C16,C18*C16))</f>
        <v>0</v>
      </c>
      <c r="D20" s="96"/>
      <c r="E20" s="96"/>
      <c r="F20" s="96"/>
      <c r="G20" s="145"/>
      <c r="H20" s="14"/>
      <c r="I20" s="14"/>
      <c r="J20" s="14"/>
      <c r="K20" s="14"/>
      <c r="O20" s="40">
        <f t="shared" si="0"/>
        <v>45369</v>
      </c>
    </row>
    <row r="21" spans="2:15" x14ac:dyDescent="0.25">
      <c r="B21" s="96"/>
      <c r="C21" s="96"/>
      <c r="D21" s="96"/>
      <c r="E21" s="96"/>
      <c r="F21" s="96"/>
      <c r="G21" s="145"/>
      <c r="H21" s="14"/>
      <c r="I21" s="14"/>
      <c r="J21" s="14"/>
      <c r="K21" s="14"/>
      <c r="O21" s="40">
        <f t="shared" si="0"/>
        <v>45376</v>
      </c>
    </row>
    <row r="22" spans="2:15" x14ac:dyDescent="0.25">
      <c r="B22" s="14"/>
      <c r="C22" s="14"/>
      <c r="D22" s="14"/>
      <c r="E22" s="14"/>
      <c r="F22" s="14"/>
      <c r="G22" s="19"/>
      <c r="H22" s="14"/>
      <c r="I22" s="14"/>
      <c r="J22" s="14"/>
      <c r="K22" s="14"/>
      <c r="O22" s="40">
        <f t="shared" si="0"/>
        <v>45383</v>
      </c>
    </row>
    <row r="23" spans="2:15" x14ac:dyDescent="0.25">
      <c r="B23" s="14"/>
      <c r="C23" s="14"/>
      <c r="D23" s="14"/>
      <c r="E23" s="14"/>
      <c r="F23" s="14"/>
      <c r="G23" s="19"/>
      <c r="H23" s="14"/>
      <c r="I23" s="14"/>
      <c r="J23" s="14"/>
      <c r="K23" s="14"/>
      <c r="O23" s="40">
        <f t="shared" si="0"/>
        <v>45390</v>
      </c>
    </row>
    <row r="24" spans="2:15" x14ac:dyDescent="0.25">
      <c r="B24" s="14"/>
      <c r="C24" s="14"/>
      <c r="D24" s="14"/>
      <c r="E24" s="14"/>
      <c r="F24" s="14"/>
      <c r="G24" s="19"/>
      <c r="H24" s="14"/>
      <c r="I24" s="14"/>
      <c r="J24" s="14"/>
      <c r="K24" s="14"/>
      <c r="O24" s="40">
        <f t="shared" si="0"/>
        <v>45397</v>
      </c>
    </row>
    <row r="25" spans="2:15" x14ac:dyDescent="0.25">
      <c r="B25" s="4"/>
      <c r="C25" s="4"/>
      <c r="D25" s="4"/>
      <c r="E25" s="4"/>
      <c r="F25" s="4"/>
      <c r="G25" s="89"/>
      <c r="H25" s="4"/>
      <c r="I25" s="4"/>
      <c r="J25" s="4"/>
      <c r="K25" s="4"/>
      <c r="L25" s="14" t="s">
        <v>141</v>
      </c>
      <c r="O25" s="40">
        <f t="shared" si="0"/>
        <v>45404</v>
      </c>
    </row>
    <row r="26" spans="2:15" x14ac:dyDescent="0.25">
      <c r="B26" s="14" t="s">
        <v>29</v>
      </c>
      <c r="C26" s="14"/>
      <c r="D26" s="14"/>
      <c r="E26" s="14"/>
      <c r="F26" s="14"/>
      <c r="G26" s="19"/>
      <c r="H26" s="14"/>
      <c r="I26" s="14"/>
      <c r="J26" s="14"/>
      <c r="K26" s="14"/>
      <c r="O26" s="40">
        <f t="shared" si="0"/>
        <v>45411</v>
      </c>
    </row>
    <row r="27" spans="2:15" x14ac:dyDescent="0.25">
      <c r="B27" s="42" t="s">
        <v>126</v>
      </c>
      <c r="C27" s="42" t="s">
        <v>31</v>
      </c>
      <c r="D27" s="42" t="s">
        <v>56</v>
      </c>
      <c r="E27" s="42" t="s">
        <v>57</v>
      </c>
      <c r="F27" s="42" t="s">
        <v>127</v>
      </c>
      <c r="G27" s="90" t="s">
        <v>142</v>
      </c>
      <c r="H27" s="42" t="s">
        <v>143</v>
      </c>
      <c r="I27" s="42" t="s">
        <v>129</v>
      </c>
      <c r="J27" s="42" t="s">
        <v>144</v>
      </c>
      <c r="K27" s="42" t="s">
        <v>145</v>
      </c>
      <c r="O27" s="40">
        <f t="shared" si="0"/>
        <v>45418</v>
      </c>
    </row>
    <row r="28" spans="2:15" x14ac:dyDescent="0.25">
      <c r="B28" s="182" t="str">
        <f>IF(C9=0,"",VLOOKUP(C9,Staff1,1))</f>
        <v/>
      </c>
      <c r="C28" s="182" t="str">
        <f>C12</f>
        <v/>
      </c>
      <c r="D28" s="182" t="str">
        <f>D12</f>
        <v/>
      </c>
      <c r="E28" s="182" t="str">
        <f>E12</f>
        <v/>
      </c>
      <c r="F28" s="182" t="str">
        <f>C14</f>
        <v/>
      </c>
      <c r="G28" s="183" t="str">
        <f>C16</f>
        <v/>
      </c>
      <c r="H28" s="143">
        <f>C18</f>
        <v>0</v>
      </c>
      <c r="I28" s="182" t="str">
        <f>E16</f>
        <v/>
      </c>
      <c r="J28" s="184" t="str">
        <f>IF(E18="","",CHOOSE(E18,O14,O15,O16,O17,O18,O19,O20,O21,O22,O23,O24,O25,O26,O27,O28,O29,O30,O31))</f>
        <v/>
      </c>
      <c r="K28" s="183">
        <f>C20</f>
        <v>0</v>
      </c>
      <c r="O28" s="40">
        <f t="shared" si="0"/>
        <v>45425</v>
      </c>
    </row>
    <row r="29" spans="2:15" x14ac:dyDescent="0.25">
      <c r="B29" s="14"/>
      <c r="C29" s="14"/>
      <c r="D29" s="14"/>
      <c r="E29" s="14"/>
      <c r="F29" s="14"/>
      <c r="G29" s="19"/>
      <c r="H29" s="14"/>
      <c r="I29" s="14"/>
      <c r="J29" s="14"/>
      <c r="K29" s="14"/>
      <c r="O29" s="40">
        <f t="shared" si="0"/>
        <v>45432</v>
      </c>
    </row>
    <row r="30" spans="2:15" x14ac:dyDescent="0.25">
      <c r="B30" s="4"/>
      <c r="C30" s="4"/>
      <c r="D30" s="4"/>
      <c r="E30" s="4"/>
      <c r="F30" s="4"/>
      <c r="G30" s="89"/>
      <c r="H30" s="4"/>
      <c r="I30" s="4"/>
      <c r="J30" s="4"/>
      <c r="K30" s="4"/>
      <c r="O30" s="40">
        <f t="shared" si="0"/>
        <v>45439</v>
      </c>
    </row>
    <row r="31" spans="2:15" x14ac:dyDescent="0.25">
      <c r="B31" s="4"/>
      <c r="C31" s="4"/>
      <c r="D31" s="4"/>
      <c r="E31" s="4"/>
      <c r="F31" s="4"/>
      <c r="G31" s="89"/>
      <c r="H31" s="4"/>
      <c r="I31" s="4"/>
      <c r="J31" s="4"/>
      <c r="K31" s="4"/>
      <c r="O31" s="40">
        <f t="shared" si="0"/>
        <v>45446</v>
      </c>
    </row>
    <row r="32" spans="2:15" x14ac:dyDescent="0.25">
      <c r="B32" s="14"/>
      <c r="C32" s="14"/>
      <c r="D32" s="14"/>
      <c r="E32" s="14"/>
      <c r="F32" s="14"/>
      <c r="G32" s="19"/>
      <c r="H32" s="14"/>
      <c r="I32" s="14"/>
      <c r="J32" s="14"/>
      <c r="K32" s="14"/>
      <c r="O32" s="32"/>
    </row>
    <row r="33" spans="2:11" x14ac:dyDescent="0.25">
      <c r="B33" s="15" t="s">
        <v>126</v>
      </c>
      <c r="C33" s="15" t="s">
        <v>31</v>
      </c>
      <c r="D33" s="15" t="s">
        <v>56</v>
      </c>
      <c r="E33" s="15" t="s">
        <v>57</v>
      </c>
      <c r="F33" s="15" t="s">
        <v>127</v>
      </c>
      <c r="G33" s="91" t="s">
        <v>142</v>
      </c>
      <c r="H33" s="27" t="s">
        <v>143</v>
      </c>
      <c r="I33" s="27" t="s">
        <v>129</v>
      </c>
      <c r="J33" s="27" t="s">
        <v>144</v>
      </c>
      <c r="K33" s="27" t="s">
        <v>145</v>
      </c>
    </row>
    <row r="34" spans="2:11" x14ac:dyDescent="0.25">
      <c r="B34" s="185">
        <v>1</v>
      </c>
      <c r="C34" s="185" t="s">
        <v>48</v>
      </c>
      <c r="D34" s="185" t="s">
        <v>49</v>
      </c>
      <c r="E34" s="185" t="s">
        <v>50</v>
      </c>
      <c r="F34" s="185" t="s">
        <v>131</v>
      </c>
      <c r="G34" s="41">
        <v>11</v>
      </c>
      <c r="H34" s="2">
        <v>25</v>
      </c>
      <c r="I34" s="185">
        <v>1.2</v>
      </c>
      <c r="J34" s="13">
        <v>45317</v>
      </c>
      <c r="K34" s="41">
        <v>275</v>
      </c>
    </row>
    <row r="35" spans="2:11" x14ac:dyDescent="0.25">
      <c r="B35" s="217">
        <v>2</v>
      </c>
      <c r="C35" s="217" t="s">
        <v>44</v>
      </c>
      <c r="D35" s="217" t="s">
        <v>52</v>
      </c>
      <c r="E35" s="217" t="s">
        <v>53</v>
      </c>
      <c r="F35" s="217" t="s">
        <v>131</v>
      </c>
      <c r="G35" s="7">
        <v>11</v>
      </c>
      <c r="H35" s="6">
        <v>25</v>
      </c>
      <c r="I35" s="217">
        <v>1.2</v>
      </c>
      <c r="J35" s="5">
        <v>45317</v>
      </c>
      <c r="K35" s="7">
        <v>275</v>
      </c>
    </row>
    <row r="36" spans="2:11" x14ac:dyDescent="0.25">
      <c r="B36" s="185">
        <v>9</v>
      </c>
      <c r="C36" s="185" t="s">
        <v>44</v>
      </c>
      <c r="D36" s="185" t="s">
        <v>45</v>
      </c>
      <c r="E36" s="185" t="s">
        <v>46</v>
      </c>
      <c r="F36" s="185" t="s">
        <v>135</v>
      </c>
      <c r="G36" s="41">
        <v>20</v>
      </c>
      <c r="H36" s="2">
        <v>5</v>
      </c>
      <c r="I36" s="185">
        <v>1.8</v>
      </c>
      <c r="J36" s="13">
        <v>45327</v>
      </c>
      <c r="K36" s="41">
        <v>100</v>
      </c>
    </row>
    <row r="37" spans="2:11" x14ac:dyDescent="0.25">
      <c r="B37" s="217">
        <v>6</v>
      </c>
      <c r="C37" s="217" t="s">
        <v>48</v>
      </c>
      <c r="D37" s="217" t="s">
        <v>91</v>
      </c>
      <c r="E37" s="217" t="s">
        <v>92</v>
      </c>
      <c r="F37" s="217" t="s">
        <v>134</v>
      </c>
      <c r="G37" s="7">
        <v>16</v>
      </c>
      <c r="H37" s="6">
        <v>10</v>
      </c>
      <c r="I37" s="217">
        <v>1.5</v>
      </c>
      <c r="J37" s="5">
        <v>45327</v>
      </c>
      <c r="K37" s="7">
        <v>160</v>
      </c>
    </row>
    <row r="38" spans="2:11" x14ac:dyDescent="0.25">
      <c r="B38" s="185">
        <v>6</v>
      </c>
      <c r="C38" s="185" t="s">
        <v>48</v>
      </c>
      <c r="D38" s="185" t="s">
        <v>91</v>
      </c>
      <c r="E38" s="185" t="s">
        <v>92</v>
      </c>
      <c r="F38" s="185" t="s">
        <v>134</v>
      </c>
      <c r="G38" s="41">
        <v>16</v>
      </c>
      <c r="H38" s="2">
        <v>10</v>
      </c>
      <c r="I38" s="185">
        <v>1.5</v>
      </c>
      <c r="J38" s="13">
        <v>45355</v>
      </c>
      <c r="K38" s="41">
        <v>160</v>
      </c>
    </row>
    <row r="39" spans="2:11" x14ac:dyDescent="0.25">
      <c r="B39" s="217">
        <v>5</v>
      </c>
      <c r="C39" s="217" t="s">
        <v>78</v>
      </c>
      <c r="D39" s="217" t="s">
        <v>85</v>
      </c>
      <c r="E39" s="217" t="s">
        <v>86</v>
      </c>
      <c r="F39" s="217" t="s">
        <v>134</v>
      </c>
      <c r="G39" s="7">
        <v>16</v>
      </c>
      <c r="H39" s="6">
        <v>35</v>
      </c>
      <c r="I39" s="217">
        <v>1.5</v>
      </c>
      <c r="J39" s="5">
        <v>45348</v>
      </c>
      <c r="K39" s="7">
        <v>560</v>
      </c>
    </row>
    <row r="40" spans="2:11" x14ac:dyDescent="0.25">
      <c r="B40" s="185">
        <v>4</v>
      </c>
      <c r="C40" s="185" t="s">
        <v>78</v>
      </c>
      <c r="D40" s="185" t="s">
        <v>79</v>
      </c>
      <c r="E40" s="185" t="s">
        <v>80</v>
      </c>
      <c r="F40" s="185" t="s">
        <v>133</v>
      </c>
      <c r="G40" s="41">
        <v>13</v>
      </c>
      <c r="H40" s="2">
        <v>23</v>
      </c>
      <c r="I40" s="185">
        <v>1.3</v>
      </c>
      <c r="J40" s="13">
        <v>45355</v>
      </c>
      <c r="K40" s="41">
        <v>299</v>
      </c>
    </row>
    <row r="41" spans="2:11" x14ac:dyDescent="0.25">
      <c r="B41" s="217"/>
      <c r="C41" s="217"/>
      <c r="D41" s="217"/>
      <c r="E41" s="217"/>
      <c r="F41" s="217"/>
      <c r="G41" s="7"/>
      <c r="H41" s="6"/>
      <c r="I41" s="217"/>
      <c r="J41" s="5"/>
      <c r="K41" s="7"/>
    </row>
    <row r="42" spans="2:11" x14ac:dyDescent="0.25">
      <c r="B42" s="185"/>
      <c r="C42" s="185"/>
      <c r="D42" s="185"/>
      <c r="E42" s="185"/>
      <c r="F42" s="185"/>
      <c r="G42" s="41"/>
      <c r="H42" s="2"/>
      <c r="I42" s="185"/>
      <c r="J42" s="13"/>
      <c r="K42" s="41"/>
    </row>
    <row r="43" spans="2:11" x14ac:dyDescent="0.25">
      <c r="B43" s="6"/>
      <c r="C43" s="6"/>
      <c r="D43" s="6"/>
      <c r="E43" s="6"/>
      <c r="F43" s="6"/>
      <c r="G43" s="7"/>
      <c r="H43" s="6"/>
      <c r="I43" s="6"/>
      <c r="J43" s="5"/>
      <c r="K43" s="7"/>
    </row>
    <row r="44" spans="2:11" x14ac:dyDescent="0.25">
      <c r="B44" s="2"/>
      <c r="C44" s="2"/>
      <c r="D44" s="2"/>
      <c r="E44" s="2"/>
      <c r="F44" s="2"/>
      <c r="G44" s="41"/>
      <c r="H44" s="2"/>
      <c r="I44" s="2"/>
      <c r="J44" s="13"/>
      <c r="K44" s="41"/>
    </row>
    <row r="45" spans="2:11" x14ac:dyDescent="0.25">
      <c r="B45" s="6"/>
      <c r="C45" s="6"/>
      <c r="D45" s="6"/>
      <c r="E45" s="6"/>
      <c r="F45" s="6"/>
      <c r="G45" s="7"/>
      <c r="H45" s="6"/>
      <c r="I45" s="6"/>
      <c r="J45" s="5"/>
      <c r="K45" s="7"/>
    </row>
    <row r="46" spans="2:11" x14ac:dyDescent="0.25">
      <c r="B46" s="2"/>
      <c r="C46" s="2"/>
      <c r="D46" s="2"/>
      <c r="E46" s="2"/>
      <c r="F46" s="2"/>
      <c r="G46" s="41"/>
      <c r="H46" s="2"/>
      <c r="I46" s="2"/>
      <c r="J46" s="13"/>
      <c r="K46" s="41"/>
    </row>
    <row r="47" spans="2:11" x14ac:dyDescent="0.25">
      <c r="B47" s="6"/>
      <c r="C47" s="6"/>
      <c r="D47" s="6"/>
      <c r="E47" s="6"/>
      <c r="F47" s="6"/>
      <c r="G47" s="7"/>
      <c r="H47" s="6"/>
      <c r="I47" s="6"/>
      <c r="J47" s="5"/>
      <c r="K47" s="7"/>
    </row>
    <row r="48" spans="2:11" x14ac:dyDescent="0.25">
      <c r="B48" s="2"/>
      <c r="C48" s="2"/>
      <c r="D48" s="2"/>
      <c r="E48" s="2"/>
      <c r="F48" s="2"/>
      <c r="G48" s="41"/>
      <c r="H48" s="2"/>
      <c r="I48" s="2"/>
      <c r="J48" s="13"/>
      <c r="K48" s="41"/>
    </row>
    <row r="49" spans="2:11" x14ac:dyDescent="0.25">
      <c r="B49" s="6"/>
      <c r="C49" s="6"/>
      <c r="D49" s="6"/>
      <c r="E49" s="6"/>
      <c r="F49" s="6"/>
      <c r="G49" s="7"/>
      <c r="H49" s="6"/>
      <c r="I49" s="6"/>
      <c r="J49" s="5"/>
      <c r="K49" s="7"/>
    </row>
    <row r="50" spans="2:11" x14ac:dyDescent="0.25">
      <c r="B50" s="185"/>
      <c r="C50" s="185"/>
      <c r="D50" s="185"/>
      <c r="E50" s="185"/>
      <c r="F50" s="185"/>
      <c r="G50" s="41"/>
      <c r="H50" s="2"/>
      <c r="I50" s="185"/>
      <c r="J50" s="13"/>
      <c r="K50" s="41"/>
    </row>
    <row r="51" spans="2:11" x14ac:dyDescent="0.25">
      <c r="B51" s="6"/>
      <c r="C51" s="6"/>
      <c r="D51" s="6"/>
      <c r="E51" s="6"/>
      <c r="F51" s="6"/>
      <c r="G51" s="7"/>
      <c r="H51" s="6"/>
      <c r="I51" s="6"/>
      <c r="J51" s="5"/>
      <c r="K51" s="7"/>
    </row>
    <row r="52" spans="2:11" x14ac:dyDescent="0.25">
      <c r="B52" s="2"/>
      <c r="C52" s="2"/>
      <c r="D52" s="2"/>
      <c r="E52" s="2"/>
      <c r="F52" s="2"/>
      <c r="G52" s="41"/>
      <c r="H52" s="2"/>
      <c r="I52" s="2"/>
      <c r="J52" s="13"/>
      <c r="K52" s="41"/>
    </row>
    <row r="53" spans="2:11" x14ac:dyDescent="0.25">
      <c r="B53" s="6"/>
      <c r="C53" s="6"/>
      <c r="D53" s="6"/>
      <c r="E53" s="6"/>
      <c r="F53" s="6"/>
      <c r="G53" s="7"/>
      <c r="H53" s="6"/>
      <c r="I53" s="6"/>
      <c r="J53" s="5"/>
      <c r="K53" s="7"/>
    </row>
    <row r="54" spans="2:11" x14ac:dyDescent="0.25">
      <c r="B54" s="2"/>
      <c r="C54" s="2"/>
      <c r="D54" s="2"/>
      <c r="E54" s="2"/>
      <c r="F54" s="2"/>
      <c r="G54" s="41"/>
      <c r="H54" s="2"/>
      <c r="I54" s="2"/>
      <c r="J54" s="13"/>
      <c r="K54" s="41"/>
    </row>
    <row r="55" spans="2:11" x14ac:dyDescent="0.25">
      <c r="B55" s="6"/>
      <c r="C55" s="6"/>
      <c r="D55" s="6"/>
      <c r="E55" s="6"/>
      <c r="F55" s="6"/>
      <c r="G55" s="7"/>
      <c r="H55" s="6"/>
      <c r="I55" s="6"/>
      <c r="J55" s="5"/>
      <c r="K55" s="7"/>
    </row>
    <row r="56" spans="2:11" x14ac:dyDescent="0.25">
      <c r="B56" s="2"/>
      <c r="C56" s="2"/>
      <c r="D56" s="2"/>
      <c r="E56" s="2"/>
      <c r="F56" s="2"/>
      <c r="G56" s="41"/>
      <c r="H56" s="2"/>
      <c r="I56" s="2"/>
      <c r="J56" s="13"/>
      <c r="K56" s="41"/>
    </row>
    <row r="57" spans="2:11" x14ac:dyDescent="0.25">
      <c r="B57" s="6"/>
      <c r="C57" s="6"/>
      <c r="D57" s="6"/>
      <c r="E57" s="6"/>
      <c r="F57" s="6"/>
      <c r="G57" s="7"/>
      <c r="H57" s="6"/>
      <c r="I57" s="6"/>
      <c r="J57" s="5"/>
      <c r="K57" s="7"/>
    </row>
    <row r="58" spans="2:11" x14ac:dyDescent="0.25">
      <c r="B58" s="2"/>
      <c r="C58" s="2"/>
      <c r="D58" s="2"/>
      <c r="E58" s="2"/>
      <c r="F58" s="2"/>
      <c r="G58" s="41"/>
      <c r="H58" s="2"/>
      <c r="I58" s="2"/>
      <c r="J58" s="13"/>
      <c r="K58" s="41"/>
    </row>
    <row r="59" spans="2:11" x14ac:dyDescent="0.25">
      <c r="B59" s="6"/>
      <c r="C59" s="6"/>
      <c r="D59" s="6"/>
      <c r="E59" s="6"/>
      <c r="F59" s="6"/>
      <c r="G59" s="7"/>
      <c r="H59" s="6"/>
      <c r="I59" s="6"/>
      <c r="J59" s="5"/>
      <c r="K59" s="7"/>
    </row>
    <row r="60" spans="2:11" x14ac:dyDescent="0.25">
      <c r="B60" s="2"/>
      <c r="C60" s="2"/>
      <c r="D60" s="2"/>
      <c r="E60" s="2"/>
      <c r="F60" s="2"/>
      <c r="G60" s="41"/>
      <c r="H60" s="2"/>
      <c r="I60" s="2"/>
      <c r="J60" s="13"/>
      <c r="K60" s="41"/>
    </row>
    <row r="61" spans="2:11" x14ac:dyDescent="0.25">
      <c r="B61" s="6"/>
      <c r="C61" s="6"/>
      <c r="D61" s="6"/>
      <c r="E61" s="6"/>
      <c r="F61" s="6"/>
      <c r="G61" s="7"/>
      <c r="H61" s="6"/>
      <c r="I61" s="6"/>
      <c r="J61" s="5"/>
      <c r="K61" s="7"/>
    </row>
    <row r="62" spans="2:11" x14ac:dyDescent="0.25">
      <c r="B62" s="2"/>
      <c r="C62" s="2"/>
      <c r="D62" s="2"/>
      <c r="E62" s="2"/>
      <c r="F62" s="2"/>
      <c r="G62" s="41"/>
      <c r="H62" s="2"/>
      <c r="I62" s="2"/>
      <c r="J62" s="13"/>
      <c r="K62" s="41"/>
    </row>
    <row r="63" spans="2:11" x14ac:dyDescent="0.25">
      <c r="B63" s="6"/>
      <c r="C63" s="6"/>
      <c r="D63" s="6"/>
      <c r="E63" s="6"/>
      <c r="F63" s="6"/>
      <c r="G63" s="7"/>
      <c r="H63" s="6"/>
      <c r="I63" s="6"/>
      <c r="J63" s="5"/>
      <c r="K63" s="7"/>
    </row>
    <row r="64" spans="2:11" x14ac:dyDescent="0.25">
      <c r="B64" s="2"/>
      <c r="C64" s="2"/>
      <c r="D64" s="2"/>
      <c r="E64" s="2"/>
      <c r="F64" s="2"/>
      <c r="G64" s="41"/>
      <c r="H64" s="2"/>
      <c r="I64" s="2"/>
      <c r="J64" s="13"/>
      <c r="K64" s="41"/>
    </row>
    <row r="65" spans="2:11" x14ac:dyDescent="0.25">
      <c r="B65" s="6"/>
      <c r="C65" s="6"/>
      <c r="D65" s="6"/>
      <c r="E65" s="6"/>
      <c r="F65" s="6"/>
      <c r="G65" s="7"/>
      <c r="H65" s="6"/>
      <c r="I65" s="6"/>
      <c r="J65" s="5"/>
      <c r="K65" s="7"/>
    </row>
    <row r="66" spans="2:11" x14ac:dyDescent="0.25">
      <c r="B66" s="2"/>
      <c r="C66" s="2"/>
      <c r="D66" s="2"/>
      <c r="E66" s="2"/>
      <c r="F66" s="2"/>
      <c r="G66" s="41"/>
      <c r="H66" s="2"/>
      <c r="I66" s="2"/>
      <c r="J66" s="13"/>
      <c r="K66" s="41"/>
    </row>
    <row r="67" spans="2:11" x14ac:dyDescent="0.25">
      <c r="B67" s="6"/>
      <c r="C67" s="6"/>
      <c r="D67" s="6"/>
      <c r="E67" s="6"/>
      <c r="F67" s="6"/>
      <c r="G67" s="7"/>
      <c r="H67" s="6"/>
      <c r="I67" s="6"/>
      <c r="J67" s="5"/>
      <c r="K67" s="7"/>
    </row>
    <row r="68" spans="2:11" x14ac:dyDescent="0.25">
      <c r="B68" s="2"/>
      <c r="C68" s="2"/>
      <c r="D68" s="2"/>
      <c r="E68" s="2"/>
      <c r="F68" s="2"/>
      <c r="G68" s="41"/>
      <c r="H68" s="2"/>
      <c r="I68" s="2"/>
      <c r="J68" s="13"/>
      <c r="K68" s="41"/>
    </row>
    <row r="69" spans="2:11" x14ac:dyDescent="0.25">
      <c r="B69" s="6"/>
      <c r="C69" s="6"/>
      <c r="D69" s="6"/>
      <c r="E69" s="6"/>
      <c r="F69" s="6"/>
      <c r="G69" s="7"/>
      <c r="H69" s="6"/>
      <c r="I69" s="6"/>
      <c r="J69" s="5"/>
      <c r="K69" s="7"/>
    </row>
    <row r="70" spans="2:11" x14ac:dyDescent="0.25">
      <c r="B70" s="2"/>
      <c r="C70" s="2"/>
      <c r="D70" s="2"/>
      <c r="E70" s="2"/>
      <c r="F70" s="2"/>
      <c r="G70" s="41"/>
      <c r="H70" s="2"/>
      <c r="I70" s="2"/>
      <c r="J70" s="13"/>
      <c r="K70" s="41"/>
    </row>
    <row r="71" spans="2:11" x14ac:dyDescent="0.25">
      <c r="B71" s="6"/>
      <c r="C71" s="6"/>
      <c r="D71" s="6"/>
      <c r="E71" s="6"/>
      <c r="F71" s="6"/>
      <c r="G71" s="7"/>
      <c r="H71" s="6"/>
      <c r="I71" s="6"/>
      <c r="J71" s="5"/>
      <c r="K71" s="7"/>
    </row>
    <row r="72" spans="2:11" x14ac:dyDescent="0.25">
      <c r="B72" s="2"/>
      <c r="C72" s="2"/>
      <c r="D72" s="2"/>
      <c r="E72" s="2"/>
      <c r="F72" s="2"/>
      <c r="G72" s="41"/>
      <c r="H72" s="2"/>
      <c r="I72" s="2"/>
      <c r="J72" s="13"/>
      <c r="K72" s="41"/>
    </row>
    <row r="73" spans="2:11" x14ac:dyDescent="0.25">
      <c r="B73" s="6"/>
      <c r="C73" s="6"/>
      <c r="D73" s="6"/>
      <c r="E73" s="6"/>
      <c r="F73" s="6"/>
      <c r="G73" s="7"/>
      <c r="H73" s="6"/>
      <c r="I73" s="6"/>
      <c r="J73" s="5"/>
      <c r="K73" s="7"/>
    </row>
    <row r="74" spans="2:11" x14ac:dyDescent="0.25">
      <c r="B74" s="2"/>
      <c r="C74" s="2"/>
      <c r="D74" s="2"/>
      <c r="E74" s="2"/>
      <c r="F74" s="2"/>
      <c r="G74" s="41"/>
      <c r="H74" s="2"/>
      <c r="I74" s="2"/>
      <c r="J74" s="13"/>
      <c r="K74" s="41"/>
    </row>
    <row r="75" spans="2:11" x14ac:dyDescent="0.25">
      <c r="B75" s="6"/>
      <c r="C75" s="6"/>
      <c r="D75" s="6"/>
      <c r="E75" s="6"/>
      <c r="F75" s="6"/>
      <c r="G75" s="7"/>
      <c r="H75" s="6"/>
      <c r="I75" s="6"/>
      <c r="J75" s="5"/>
      <c r="K75" s="7"/>
    </row>
    <row r="76" spans="2:11" x14ac:dyDescent="0.25">
      <c r="B76" s="2"/>
      <c r="C76" s="2"/>
      <c r="D76" s="2"/>
      <c r="E76" s="2"/>
      <c r="F76" s="2"/>
      <c r="G76" s="41"/>
      <c r="H76" s="2"/>
      <c r="I76" s="2"/>
      <c r="J76" s="13"/>
      <c r="K76" s="41"/>
    </row>
    <row r="77" spans="2:11" x14ac:dyDescent="0.25">
      <c r="B77" s="6"/>
      <c r="C77" s="6"/>
      <c r="D77" s="6"/>
      <c r="E77" s="6"/>
      <c r="F77" s="6"/>
      <c r="G77" s="7"/>
      <c r="H77" s="6"/>
      <c r="I77" s="6"/>
      <c r="J77" s="5"/>
      <c r="K77" s="7"/>
    </row>
    <row r="78" spans="2:11" x14ac:dyDescent="0.25">
      <c r="B78" s="2"/>
      <c r="C78" s="2"/>
      <c r="D78" s="2"/>
      <c r="E78" s="2"/>
      <c r="F78" s="2"/>
      <c r="G78" s="41"/>
      <c r="H78" s="2"/>
      <c r="I78" s="2"/>
      <c r="J78" s="13"/>
      <c r="K78" s="41"/>
    </row>
    <row r="79" spans="2:11" x14ac:dyDescent="0.25">
      <c r="B79" s="6"/>
      <c r="C79" s="6"/>
      <c r="D79" s="6"/>
      <c r="E79" s="6"/>
      <c r="F79" s="6"/>
      <c r="G79" s="7"/>
      <c r="H79" s="6"/>
      <c r="I79" s="6"/>
      <c r="J79" s="5"/>
      <c r="K79" s="7"/>
    </row>
    <row r="80" spans="2:11" x14ac:dyDescent="0.25">
      <c r="B80" s="2"/>
      <c r="C80" s="2"/>
      <c r="D80" s="2"/>
      <c r="E80" s="2"/>
      <c r="F80" s="2"/>
      <c r="G80" s="41"/>
      <c r="H80" s="2"/>
      <c r="I80" s="2"/>
      <c r="J80" s="13"/>
      <c r="K80" s="41"/>
    </row>
    <row r="81" spans="2:11" x14ac:dyDescent="0.25">
      <c r="B81" s="6"/>
      <c r="C81" s="6"/>
      <c r="D81" s="6"/>
      <c r="E81" s="6"/>
      <c r="F81" s="6"/>
      <c r="G81" s="7"/>
      <c r="H81" s="6"/>
      <c r="I81" s="6"/>
      <c r="J81" s="5"/>
      <c r="K81" s="7"/>
    </row>
    <row r="82" spans="2:11" x14ac:dyDescent="0.25">
      <c r="B82" s="2"/>
      <c r="C82" s="2"/>
      <c r="D82" s="2"/>
      <c r="E82" s="2"/>
      <c r="F82" s="2"/>
      <c r="G82" s="41"/>
      <c r="H82" s="2"/>
      <c r="I82" s="2"/>
      <c r="J82" s="13"/>
      <c r="K82" s="41"/>
    </row>
    <row r="83" spans="2:11" x14ac:dyDescent="0.25">
      <c r="B83" s="6"/>
      <c r="C83" s="6"/>
      <c r="D83" s="6"/>
      <c r="E83" s="6"/>
      <c r="F83" s="6"/>
      <c r="G83" s="7"/>
      <c r="H83" s="6"/>
      <c r="I83" s="6"/>
      <c r="J83" s="5"/>
      <c r="K83" s="7"/>
    </row>
    <row r="84" spans="2:11" x14ac:dyDescent="0.25">
      <c r="B84" s="2"/>
      <c r="C84" s="2"/>
      <c r="D84" s="2"/>
      <c r="E84" s="2"/>
      <c r="F84" s="2"/>
      <c r="G84" s="41"/>
      <c r="H84" s="2"/>
      <c r="I84" s="2"/>
      <c r="J84" s="13"/>
      <c r="K84" s="41"/>
    </row>
    <row r="85" spans="2:11" x14ac:dyDescent="0.25">
      <c r="B85" s="6"/>
      <c r="C85" s="6"/>
      <c r="D85" s="6"/>
      <c r="E85" s="6"/>
      <c r="F85" s="6"/>
      <c r="G85" s="7"/>
      <c r="H85" s="6"/>
      <c r="I85" s="6"/>
      <c r="J85" s="5"/>
      <c r="K85" s="7"/>
    </row>
    <row r="86" spans="2:11" x14ac:dyDescent="0.25">
      <c r="B86" s="2"/>
      <c r="C86" s="2"/>
      <c r="D86" s="2"/>
      <c r="E86" s="2"/>
      <c r="F86" s="2"/>
      <c r="G86" s="41"/>
      <c r="H86" s="2"/>
      <c r="I86" s="2"/>
      <c r="J86" s="13"/>
      <c r="K86" s="41"/>
    </row>
    <row r="87" spans="2:11" x14ac:dyDescent="0.25">
      <c r="B87" s="6"/>
      <c r="C87" s="6"/>
      <c r="D87" s="6"/>
      <c r="E87" s="6"/>
      <c r="F87" s="6"/>
      <c r="G87" s="7"/>
      <c r="H87" s="6"/>
      <c r="I87" s="6"/>
      <c r="J87" s="5"/>
      <c r="K87" s="7"/>
    </row>
    <row r="88" spans="2:11" x14ac:dyDescent="0.25">
      <c r="B88" s="2"/>
      <c r="C88" s="2"/>
      <c r="D88" s="2"/>
      <c r="E88" s="2"/>
      <c r="F88" s="2"/>
      <c r="G88" s="41"/>
      <c r="H88" s="2"/>
      <c r="I88" s="2"/>
      <c r="J88" s="13"/>
      <c r="K88" s="41"/>
    </row>
    <row r="89" spans="2:11" x14ac:dyDescent="0.25">
      <c r="B89" s="6"/>
      <c r="C89" s="6"/>
      <c r="D89" s="6"/>
      <c r="E89" s="6"/>
      <c r="F89" s="6"/>
      <c r="G89" s="7"/>
      <c r="H89" s="6"/>
      <c r="I89" s="6"/>
      <c r="J89" s="5"/>
      <c r="K89" s="7"/>
    </row>
    <row r="90" spans="2:11" x14ac:dyDescent="0.25">
      <c r="B90" s="2"/>
      <c r="C90" s="2"/>
      <c r="D90" s="2"/>
      <c r="E90" s="2"/>
      <c r="F90" s="2"/>
      <c r="G90" s="41"/>
      <c r="H90" s="2"/>
      <c r="I90" s="2"/>
      <c r="J90" s="13"/>
      <c r="K90" s="41"/>
    </row>
    <row r="91" spans="2:11" x14ac:dyDescent="0.25">
      <c r="B91" s="6"/>
      <c r="C91" s="6"/>
      <c r="D91" s="6"/>
      <c r="E91" s="6"/>
      <c r="F91" s="6"/>
      <c r="G91" s="7"/>
      <c r="H91" s="6"/>
      <c r="I91" s="6"/>
      <c r="J91" s="5"/>
      <c r="K91" s="7"/>
    </row>
    <row r="92" spans="2:11" x14ac:dyDescent="0.25">
      <c r="B92" s="2"/>
      <c r="C92" s="2"/>
      <c r="D92" s="2"/>
      <c r="E92" s="2"/>
      <c r="F92" s="2"/>
      <c r="G92" s="41"/>
      <c r="H92" s="2"/>
      <c r="I92" s="2"/>
      <c r="J92" s="13"/>
      <c r="K92" s="41"/>
    </row>
    <row r="93" spans="2:11" x14ac:dyDescent="0.25">
      <c r="B93" s="6"/>
      <c r="C93" s="6"/>
      <c r="D93" s="6"/>
      <c r="E93" s="6"/>
      <c r="F93" s="6"/>
      <c r="G93" s="7"/>
      <c r="H93" s="6"/>
      <c r="I93" s="6"/>
      <c r="J93" s="5"/>
      <c r="K93" s="7"/>
    </row>
    <row r="94" spans="2:11" x14ac:dyDescent="0.25">
      <c r="B94" s="2"/>
      <c r="C94" s="2"/>
      <c r="D94" s="2"/>
      <c r="E94" s="2"/>
      <c r="F94" s="2"/>
      <c r="G94" s="41"/>
      <c r="H94" s="2"/>
      <c r="I94" s="2"/>
      <c r="J94" s="13"/>
      <c r="K94" s="41"/>
    </row>
    <row r="95" spans="2:11" x14ac:dyDescent="0.25">
      <c r="B95" s="6"/>
      <c r="C95" s="6"/>
      <c r="D95" s="6"/>
      <c r="E95" s="6"/>
      <c r="F95" s="6"/>
      <c r="G95" s="7"/>
      <c r="H95" s="6"/>
      <c r="I95" s="6"/>
      <c r="J95" s="5"/>
      <c r="K95" s="7"/>
    </row>
    <row r="96" spans="2:11" x14ac:dyDescent="0.25">
      <c r="B96" s="2"/>
      <c r="C96" s="2"/>
      <c r="D96" s="2"/>
      <c r="E96" s="2"/>
      <c r="F96" s="2"/>
      <c r="G96" s="41"/>
      <c r="H96" s="2"/>
      <c r="I96" s="2"/>
      <c r="J96" s="13"/>
      <c r="K96" s="41"/>
    </row>
    <row r="97" spans="2:11" x14ac:dyDescent="0.25">
      <c r="B97" s="6"/>
      <c r="C97" s="6"/>
      <c r="D97" s="6"/>
      <c r="E97" s="6"/>
      <c r="F97" s="6"/>
      <c r="G97" s="7"/>
      <c r="H97" s="6"/>
      <c r="I97" s="6"/>
      <c r="J97" s="5"/>
      <c r="K97" s="7"/>
    </row>
    <row r="98" spans="2:11" x14ac:dyDescent="0.25">
      <c r="B98" s="2"/>
      <c r="C98" s="2"/>
      <c r="D98" s="2"/>
      <c r="E98" s="2"/>
      <c r="F98" s="2"/>
      <c r="G98" s="41"/>
      <c r="H98" s="2"/>
      <c r="I98" s="2"/>
      <c r="J98" s="13"/>
      <c r="K98" s="41"/>
    </row>
    <row r="99" spans="2:11" x14ac:dyDescent="0.25">
      <c r="B99" s="6"/>
      <c r="C99" s="6"/>
      <c r="D99" s="6"/>
      <c r="E99" s="6"/>
      <c r="F99" s="6"/>
      <c r="G99" s="7"/>
      <c r="H99" s="6"/>
      <c r="I99" s="6"/>
      <c r="J99" s="5"/>
      <c r="K99" s="7"/>
    </row>
    <row r="100" spans="2:11" x14ac:dyDescent="0.25">
      <c r="B100" s="2"/>
      <c r="C100" s="2"/>
      <c r="D100" s="2"/>
      <c r="E100" s="2"/>
      <c r="F100" s="2"/>
      <c r="G100" s="41"/>
      <c r="H100" s="2"/>
      <c r="I100" s="2"/>
      <c r="J100" s="13"/>
      <c r="K100" s="41"/>
    </row>
    <row r="101" spans="2:11" x14ac:dyDescent="0.25">
      <c r="B101" s="6"/>
      <c r="C101" s="6"/>
      <c r="D101" s="6"/>
      <c r="E101" s="6"/>
      <c r="F101" s="6"/>
      <c r="G101" s="7"/>
      <c r="H101" s="6"/>
      <c r="I101" s="6"/>
      <c r="J101" s="5"/>
      <c r="K101" s="7"/>
    </row>
    <row r="102" spans="2:11" x14ac:dyDescent="0.25">
      <c r="B102" s="2"/>
      <c r="C102" s="2"/>
      <c r="D102" s="2"/>
      <c r="E102" s="2"/>
      <c r="F102" s="2"/>
      <c r="G102" s="41"/>
      <c r="H102" s="2"/>
      <c r="I102" s="2"/>
      <c r="J102" s="13"/>
      <c r="K102" s="41"/>
    </row>
    <row r="103" spans="2:11" x14ac:dyDescent="0.25">
      <c r="B103" s="6"/>
      <c r="C103" s="6"/>
      <c r="D103" s="6"/>
      <c r="E103" s="6"/>
      <c r="F103" s="6"/>
      <c r="G103" s="7"/>
      <c r="H103" s="6"/>
      <c r="I103" s="6"/>
      <c r="J103" s="5"/>
      <c r="K103" s="7"/>
    </row>
    <row r="104" spans="2:11" x14ac:dyDescent="0.25">
      <c r="B104" s="2"/>
      <c r="C104" s="2"/>
      <c r="D104" s="2"/>
      <c r="E104" s="2"/>
      <c r="F104" s="2"/>
      <c r="G104" s="41"/>
      <c r="H104" s="2"/>
      <c r="I104" s="2"/>
      <c r="J104" s="13"/>
      <c r="K104" s="41"/>
    </row>
    <row r="105" spans="2:11" x14ac:dyDescent="0.25">
      <c r="B105" s="6"/>
      <c r="C105" s="6"/>
      <c r="D105" s="6"/>
      <c r="E105" s="6"/>
      <c r="F105" s="6"/>
      <c r="G105" s="7"/>
      <c r="H105" s="6"/>
      <c r="I105" s="6"/>
      <c r="J105" s="5"/>
      <c r="K105" s="7"/>
    </row>
    <row r="106" spans="2:11" x14ac:dyDescent="0.25">
      <c r="B106" s="2"/>
      <c r="C106" s="2"/>
      <c r="D106" s="2"/>
      <c r="E106" s="2"/>
      <c r="F106" s="2"/>
      <c r="G106" s="41"/>
      <c r="H106" s="2"/>
      <c r="I106" s="2"/>
      <c r="J106" s="13"/>
      <c r="K106" s="41"/>
    </row>
    <row r="107" spans="2:11" x14ac:dyDescent="0.25">
      <c r="B107" s="6"/>
      <c r="C107" s="6"/>
      <c r="D107" s="6"/>
      <c r="E107" s="6"/>
      <c r="F107" s="6"/>
      <c r="G107" s="7"/>
      <c r="H107" s="6"/>
      <c r="I107" s="6"/>
      <c r="J107" s="5"/>
      <c r="K107" s="7"/>
    </row>
    <row r="108" spans="2:11" x14ac:dyDescent="0.25">
      <c r="B108" s="2"/>
      <c r="C108" s="2"/>
      <c r="D108" s="2"/>
      <c r="E108" s="2"/>
      <c r="F108" s="2"/>
      <c r="G108" s="41"/>
      <c r="H108" s="2"/>
      <c r="I108" s="2"/>
      <c r="J108" s="13"/>
      <c r="K108" s="41"/>
    </row>
    <row r="109" spans="2:11" x14ac:dyDescent="0.25">
      <c r="B109" s="6"/>
      <c r="C109" s="6"/>
      <c r="D109" s="6"/>
      <c r="E109" s="6"/>
      <c r="F109" s="6"/>
      <c r="G109" s="7"/>
      <c r="H109" s="6"/>
      <c r="I109" s="6"/>
      <c r="J109" s="5"/>
      <c r="K109" s="7"/>
    </row>
    <row r="110" spans="2:11" x14ac:dyDescent="0.25">
      <c r="B110" s="2"/>
      <c r="C110" s="2"/>
      <c r="D110" s="2"/>
      <c r="E110" s="2"/>
      <c r="F110" s="2"/>
      <c r="G110" s="41"/>
      <c r="H110" s="2"/>
      <c r="I110" s="2"/>
      <c r="J110" s="13"/>
      <c r="K110" s="41"/>
    </row>
    <row r="111" spans="2:11" x14ac:dyDescent="0.25">
      <c r="B111" s="6"/>
      <c r="C111" s="6"/>
      <c r="D111" s="6"/>
      <c r="E111" s="6"/>
      <c r="F111" s="6"/>
      <c r="G111" s="7"/>
      <c r="H111" s="6"/>
      <c r="I111" s="6"/>
      <c r="J111" s="5"/>
      <c r="K111" s="7"/>
    </row>
    <row r="112" spans="2:11" x14ac:dyDescent="0.25">
      <c r="B112" s="2"/>
      <c r="C112" s="2"/>
      <c r="D112" s="2"/>
      <c r="E112" s="2"/>
      <c r="F112" s="2"/>
      <c r="G112" s="41"/>
      <c r="H112" s="2"/>
      <c r="I112" s="2"/>
      <c r="J112" s="13"/>
      <c r="K112" s="41"/>
    </row>
    <row r="113" spans="2:11" x14ac:dyDescent="0.25">
      <c r="B113" s="6"/>
      <c r="C113" s="6"/>
      <c r="D113" s="6"/>
      <c r="E113" s="6"/>
      <c r="F113" s="6"/>
      <c r="G113" s="7"/>
      <c r="H113" s="6"/>
      <c r="I113" s="6"/>
      <c r="J113" s="5"/>
      <c r="K113" s="7"/>
    </row>
    <row r="114" spans="2:11" x14ac:dyDescent="0.25">
      <c r="B114" s="2"/>
      <c r="C114" s="2"/>
      <c r="D114" s="2"/>
      <c r="E114" s="2"/>
      <c r="F114" s="2"/>
      <c r="G114" s="41"/>
      <c r="H114" s="2"/>
      <c r="I114" s="2"/>
      <c r="J114" s="13"/>
      <c r="K114" s="41"/>
    </row>
    <row r="115" spans="2:11" x14ac:dyDescent="0.25">
      <c r="B115" s="6"/>
      <c r="C115" s="6"/>
      <c r="D115" s="6"/>
      <c r="E115" s="6"/>
      <c r="F115" s="6"/>
      <c r="G115" s="7"/>
      <c r="H115" s="6"/>
      <c r="I115" s="6"/>
      <c r="J115" s="5"/>
      <c r="K115" s="7"/>
    </row>
    <row r="116" spans="2:11" x14ac:dyDescent="0.25">
      <c r="B116" s="2"/>
      <c r="C116" s="2"/>
      <c r="D116" s="2"/>
      <c r="E116" s="2"/>
      <c r="F116" s="2"/>
      <c r="G116" s="41"/>
      <c r="H116" s="2"/>
      <c r="I116" s="2"/>
      <c r="J116" s="13"/>
      <c r="K116" s="41"/>
    </row>
    <row r="117" spans="2:11" x14ac:dyDescent="0.25">
      <c r="B117" s="6"/>
      <c r="C117" s="6"/>
      <c r="D117" s="6"/>
      <c r="E117" s="6"/>
      <c r="F117" s="6"/>
      <c r="G117" s="7"/>
      <c r="H117" s="6"/>
      <c r="I117" s="6"/>
      <c r="J117" s="5"/>
      <c r="K117" s="7"/>
    </row>
    <row r="118" spans="2:11" x14ac:dyDescent="0.25">
      <c r="B118" s="2"/>
      <c r="C118" s="2"/>
      <c r="D118" s="2"/>
      <c r="E118" s="2"/>
      <c r="F118" s="2"/>
      <c r="G118" s="41"/>
      <c r="H118" s="2"/>
      <c r="I118" s="2"/>
      <c r="J118" s="13"/>
      <c r="K118" s="41"/>
    </row>
    <row r="119" spans="2:11" x14ac:dyDescent="0.25">
      <c r="B119" s="6"/>
      <c r="C119" s="6"/>
      <c r="D119" s="6"/>
      <c r="E119" s="6"/>
      <c r="F119" s="6"/>
      <c r="G119" s="7"/>
      <c r="H119" s="6"/>
      <c r="I119" s="6"/>
      <c r="J119" s="5"/>
      <c r="K119" s="7"/>
    </row>
    <row r="120" spans="2:11" x14ac:dyDescent="0.25">
      <c r="B120" s="2"/>
      <c r="C120" s="2"/>
      <c r="D120" s="2"/>
      <c r="E120" s="2"/>
      <c r="F120" s="2"/>
      <c r="G120" s="41"/>
      <c r="H120" s="2"/>
      <c r="I120" s="2"/>
      <c r="J120" s="13"/>
      <c r="K120" s="41"/>
    </row>
    <row r="121" spans="2:11" x14ac:dyDescent="0.25">
      <c r="B121" s="6"/>
      <c r="C121" s="6"/>
      <c r="D121" s="6"/>
      <c r="E121" s="6"/>
      <c r="F121" s="6"/>
      <c r="G121" s="7"/>
      <c r="H121" s="6"/>
      <c r="I121" s="6"/>
      <c r="J121" s="5"/>
      <c r="K121" s="7"/>
    </row>
    <row r="122" spans="2:11" x14ac:dyDescent="0.25">
      <c r="B122" s="2"/>
      <c r="C122" s="2"/>
      <c r="D122" s="2"/>
      <c r="E122" s="2"/>
      <c r="F122" s="2"/>
      <c r="G122" s="41"/>
      <c r="H122" s="2"/>
      <c r="I122" s="2"/>
      <c r="J122" s="13"/>
      <c r="K122" s="41"/>
    </row>
    <row r="123" spans="2:11" x14ac:dyDescent="0.25">
      <c r="B123" s="6"/>
      <c r="C123" s="6"/>
      <c r="D123" s="6"/>
      <c r="E123" s="6"/>
      <c r="F123" s="6"/>
      <c r="G123" s="7"/>
      <c r="H123" s="6"/>
      <c r="I123" s="6"/>
      <c r="J123" s="5"/>
      <c r="K123" s="7"/>
    </row>
    <row r="124" spans="2:11" x14ac:dyDescent="0.25">
      <c r="B124" s="2"/>
      <c r="C124" s="2"/>
      <c r="D124" s="2"/>
      <c r="E124" s="2"/>
      <c r="F124" s="2"/>
      <c r="G124" s="41"/>
      <c r="H124" s="2"/>
      <c r="I124" s="2"/>
      <c r="J124" s="13"/>
      <c r="K124" s="41"/>
    </row>
    <row r="125" spans="2:11" x14ac:dyDescent="0.25">
      <c r="B125" s="6"/>
      <c r="C125" s="6"/>
      <c r="D125" s="6"/>
      <c r="E125" s="6"/>
      <c r="F125" s="6"/>
      <c r="G125" s="7"/>
      <c r="H125" s="6"/>
      <c r="I125" s="6"/>
      <c r="J125" s="5"/>
      <c r="K125" s="7"/>
    </row>
    <row r="126" spans="2:11" x14ac:dyDescent="0.25">
      <c r="B126" s="2"/>
      <c r="C126" s="2"/>
      <c r="D126" s="2"/>
      <c r="E126" s="2"/>
      <c r="F126" s="2"/>
      <c r="G126" s="41"/>
      <c r="H126" s="2"/>
      <c r="I126" s="2"/>
      <c r="J126" s="13"/>
      <c r="K126" s="41"/>
    </row>
    <row r="127" spans="2:11" x14ac:dyDescent="0.25">
      <c r="B127" s="6"/>
      <c r="C127" s="6"/>
      <c r="D127" s="6"/>
      <c r="E127" s="6"/>
      <c r="F127" s="6"/>
      <c r="G127" s="7"/>
      <c r="H127" s="6"/>
      <c r="I127" s="6"/>
      <c r="J127" s="5"/>
      <c r="K127" s="7"/>
    </row>
    <row r="128" spans="2:11" x14ac:dyDescent="0.25">
      <c r="B128" s="2"/>
      <c r="C128" s="2"/>
      <c r="D128" s="2"/>
      <c r="E128" s="2"/>
      <c r="F128" s="2"/>
      <c r="G128" s="41"/>
      <c r="H128" s="2"/>
      <c r="I128" s="2"/>
      <c r="J128" s="13"/>
      <c r="K128" s="41"/>
    </row>
    <row r="129" spans="2:11" x14ac:dyDescent="0.25">
      <c r="B129" s="6"/>
      <c r="C129" s="6"/>
      <c r="D129" s="6"/>
      <c r="E129" s="6"/>
      <c r="F129" s="6"/>
      <c r="G129" s="7"/>
      <c r="H129" s="6"/>
      <c r="I129" s="6"/>
      <c r="J129" s="5"/>
      <c r="K129" s="7"/>
    </row>
    <row r="130" spans="2:11" x14ac:dyDescent="0.25">
      <c r="B130" s="2"/>
      <c r="C130" s="2"/>
      <c r="D130" s="2"/>
      <c r="E130" s="2"/>
      <c r="F130" s="2"/>
      <c r="G130" s="41"/>
      <c r="H130" s="2"/>
      <c r="I130" s="2"/>
      <c r="J130" s="13"/>
      <c r="K130" s="41"/>
    </row>
    <row r="131" spans="2:11" x14ac:dyDescent="0.25">
      <c r="B131" s="6"/>
      <c r="C131" s="6"/>
      <c r="D131" s="6"/>
      <c r="E131" s="6"/>
      <c r="F131" s="6"/>
      <c r="G131" s="7"/>
      <c r="H131" s="6"/>
      <c r="I131" s="6"/>
      <c r="J131" s="5"/>
      <c r="K131" s="7"/>
    </row>
    <row r="132" spans="2:11" x14ac:dyDescent="0.25">
      <c r="B132" s="2"/>
      <c r="C132" s="2"/>
      <c r="D132" s="2"/>
      <c r="E132" s="2"/>
      <c r="F132" s="2"/>
      <c r="G132" s="41"/>
      <c r="H132" s="2"/>
      <c r="I132" s="2"/>
      <c r="J132" s="13"/>
      <c r="K132" s="41"/>
    </row>
    <row r="133" spans="2:11" x14ac:dyDescent="0.25">
      <c r="B133" s="6"/>
      <c r="C133" s="6"/>
      <c r="D133" s="6"/>
      <c r="E133" s="6"/>
      <c r="F133" s="6"/>
      <c r="G133" s="7"/>
      <c r="H133" s="6"/>
      <c r="I133" s="6"/>
      <c r="J133" s="5"/>
      <c r="K133" s="7"/>
    </row>
    <row r="134" spans="2:11" x14ac:dyDescent="0.25">
      <c r="B134" s="2"/>
      <c r="C134" s="2"/>
      <c r="D134" s="2"/>
      <c r="E134" s="2"/>
      <c r="F134" s="2"/>
      <c r="G134" s="41"/>
      <c r="H134" s="2"/>
      <c r="I134" s="2"/>
      <c r="J134" s="13"/>
      <c r="K134" s="41"/>
    </row>
    <row r="135" spans="2:11" x14ac:dyDescent="0.25">
      <c r="B135" s="6"/>
      <c r="C135" s="6"/>
      <c r="D135" s="6"/>
      <c r="E135" s="6"/>
      <c r="F135" s="6"/>
      <c r="G135" s="7"/>
      <c r="H135" s="6"/>
      <c r="I135" s="6"/>
      <c r="J135" s="5"/>
      <c r="K135" s="7"/>
    </row>
    <row r="136" spans="2:11" x14ac:dyDescent="0.25">
      <c r="B136" s="2"/>
      <c r="C136" s="2"/>
      <c r="D136" s="2"/>
      <c r="E136" s="2"/>
      <c r="F136" s="2"/>
      <c r="G136" s="41"/>
      <c r="H136" s="2"/>
      <c r="I136" s="2"/>
      <c r="J136" s="13"/>
      <c r="K136" s="41"/>
    </row>
    <row r="137" spans="2:11" x14ac:dyDescent="0.25">
      <c r="B137" s="6"/>
      <c r="C137" s="6"/>
      <c r="D137" s="6"/>
      <c r="E137" s="6"/>
      <c r="F137" s="6"/>
      <c r="G137" s="7"/>
      <c r="H137" s="6"/>
      <c r="I137" s="6"/>
      <c r="J137" s="5"/>
      <c r="K137" s="7"/>
    </row>
    <row r="138" spans="2:11" x14ac:dyDescent="0.25">
      <c r="B138" s="2"/>
      <c r="C138" s="2"/>
      <c r="D138" s="2"/>
      <c r="E138" s="2"/>
      <c r="F138" s="2"/>
      <c r="G138" s="41"/>
      <c r="H138" s="2"/>
      <c r="I138" s="2"/>
      <c r="J138" s="13"/>
      <c r="K138" s="41"/>
    </row>
    <row r="139" spans="2:11" x14ac:dyDescent="0.25">
      <c r="B139" s="6"/>
      <c r="C139" s="6"/>
      <c r="D139" s="6"/>
      <c r="E139" s="6"/>
      <c r="F139" s="6"/>
      <c r="G139" s="7"/>
      <c r="H139" s="6"/>
      <c r="I139" s="6"/>
      <c r="J139" s="5"/>
      <c r="K139" s="7"/>
    </row>
    <row r="140" spans="2:11" x14ac:dyDescent="0.25">
      <c r="B140" s="2"/>
      <c r="C140" s="2"/>
      <c r="D140" s="2"/>
      <c r="E140" s="2"/>
      <c r="F140" s="2"/>
      <c r="G140" s="41"/>
      <c r="H140" s="2"/>
      <c r="I140" s="2"/>
      <c r="J140" s="13"/>
      <c r="K140" s="41"/>
    </row>
    <row r="141" spans="2:11" x14ac:dyDescent="0.25">
      <c r="B141" s="6"/>
      <c r="C141" s="6"/>
      <c r="D141" s="6"/>
      <c r="E141" s="6"/>
      <c r="F141" s="6"/>
      <c r="G141" s="7"/>
      <c r="H141" s="6"/>
      <c r="I141" s="6"/>
      <c r="J141" s="5"/>
      <c r="K141" s="7"/>
    </row>
    <row r="142" spans="2:11" x14ac:dyDescent="0.25">
      <c r="B142" s="2"/>
      <c r="C142" s="2"/>
      <c r="D142" s="2"/>
      <c r="E142" s="2"/>
      <c r="F142" s="2"/>
      <c r="G142" s="41"/>
      <c r="H142" s="2"/>
      <c r="I142" s="2"/>
      <c r="J142" s="13"/>
      <c r="K142" s="41"/>
    </row>
    <row r="143" spans="2:11" x14ac:dyDescent="0.25">
      <c r="B143" s="6"/>
      <c r="C143" s="6"/>
      <c r="D143" s="6"/>
      <c r="E143" s="6"/>
      <c r="F143" s="6"/>
      <c r="G143" s="7"/>
      <c r="H143" s="6"/>
      <c r="I143" s="6"/>
      <c r="J143" s="5"/>
      <c r="K143" s="7"/>
    </row>
    <row r="144" spans="2:11" x14ac:dyDescent="0.25">
      <c r="B144" s="2"/>
      <c r="C144" s="2"/>
      <c r="D144" s="2"/>
      <c r="E144" s="2"/>
      <c r="F144" s="2"/>
      <c r="G144" s="41"/>
      <c r="H144" s="2"/>
      <c r="I144" s="2"/>
      <c r="J144" s="13"/>
      <c r="K144" s="41"/>
    </row>
    <row r="145" spans="2:11" x14ac:dyDescent="0.25">
      <c r="B145" s="6"/>
      <c r="C145" s="6"/>
      <c r="D145" s="6"/>
      <c r="E145" s="6"/>
      <c r="F145" s="6"/>
      <c r="G145" s="7"/>
      <c r="H145" s="6"/>
      <c r="I145" s="6"/>
      <c r="J145" s="5"/>
      <c r="K145" s="7"/>
    </row>
    <row r="146" spans="2:11" x14ac:dyDescent="0.25">
      <c r="B146" s="2"/>
      <c r="C146" s="2"/>
      <c r="D146" s="2"/>
      <c r="E146" s="2"/>
      <c r="F146" s="2"/>
      <c r="G146" s="41"/>
      <c r="H146" s="2"/>
      <c r="I146" s="2"/>
      <c r="J146" s="13"/>
      <c r="K146" s="41"/>
    </row>
    <row r="147" spans="2:11" x14ac:dyDescent="0.25">
      <c r="B147" s="6"/>
      <c r="C147" s="6"/>
      <c r="D147" s="6"/>
      <c r="E147" s="6"/>
      <c r="F147" s="6"/>
      <c r="G147" s="7"/>
      <c r="H147" s="6"/>
      <c r="I147" s="6"/>
      <c r="J147" s="5"/>
      <c r="K147" s="7"/>
    </row>
    <row r="148" spans="2:11" x14ac:dyDescent="0.25">
      <c r="B148" s="2"/>
      <c r="C148" s="2"/>
      <c r="D148" s="2"/>
      <c r="E148" s="2"/>
      <c r="F148" s="2"/>
      <c r="G148" s="41"/>
      <c r="H148" s="2"/>
      <c r="I148" s="2"/>
      <c r="J148" s="13"/>
      <c r="K148" s="41"/>
    </row>
    <row r="149" spans="2:11" x14ac:dyDescent="0.25">
      <c r="B149" s="6"/>
      <c r="C149" s="6"/>
      <c r="D149" s="6"/>
      <c r="E149" s="6"/>
      <c r="F149" s="6"/>
      <c r="G149" s="7"/>
      <c r="H149" s="6"/>
      <c r="I149" s="6"/>
      <c r="J149" s="5"/>
      <c r="K149" s="7"/>
    </row>
    <row r="150" spans="2:11" x14ac:dyDescent="0.25">
      <c r="B150" s="2"/>
      <c r="C150" s="2"/>
      <c r="D150" s="2"/>
      <c r="E150" s="2"/>
      <c r="F150" s="2"/>
      <c r="G150" s="41"/>
      <c r="H150" s="2"/>
      <c r="I150" s="2"/>
      <c r="J150" s="13"/>
      <c r="K150" s="41"/>
    </row>
    <row r="151" spans="2:11" x14ac:dyDescent="0.25">
      <c r="B151" s="6"/>
      <c r="C151" s="6"/>
      <c r="D151" s="6"/>
      <c r="E151" s="6"/>
      <c r="F151" s="6"/>
      <c r="G151" s="7"/>
      <c r="H151" s="6"/>
      <c r="I151" s="6"/>
      <c r="J151" s="5"/>
      <c r="K151" s="7"/>
    </row>
    <row r="152" spans="2:11" x14ac:dyDescent="0.25">
      <c r="B152" s="2"/>
      <c r="C152" s="2"/>
      <c r="D152" s="2"/>
      <c r="E152" s="2"/>
      <c r="F152" s="2"/>
      <c r="G152" s="41"/>
      <c r="H152" s="2"/>
      <c r="I152" s="2"/>
      <c r="J152" s="13"/>
      <c r="K152" s="41"/>
    </row>
    <row r="153" spans="2:11" x14ac:dyDescent="0.25">
      <c r="B153" s="6"/>
      <c r="C153" s="6"/>
      <c r="D153" s="6"/>
      <c r="E153" s="6"/>
      <c r="F153" s="6"/>
      <c r="G153" s="7"/>
      <c r="H153" s="6"/>
      <c r="I153" s="6"/>
      <c r="J153" s="5"/>
      <c r="K153" s="7"/>
    </row>
    <row r="154" spans="2:11" x14ac:dyDescent="0.25">
      <c r="B154" s="2"/>
      <c r="C154" s="2"/>
      <c r="D154" s="2"/>
      <c r="E154" s="2"/>
      <c r="F154" s="2"/>
      <c r="G154" s="41"/>
      <c r="H154" s="2"/>
      <c r="I154" s="2"/>
      <c r="J154" s="13"/>
      <c r="K154" s="41"/>
    </row>
    <row r="155" spans="2:11" x14ac:dyDescent="0.25">
      <c r="B155" s="6"/>
      <c r="C155" s="6"/>
      <c r="D155" s="6"/>
      <c r="E155" s="6"/>
      <c r="F155" s="6"/>
      <c r="G155" s="7"/>
      <c r="H155" s="6"/>
      <c r="I155" s="6"/>
      <c r="J155" s="5"/>
      <c r="K155" s="7"/>
    </row>
    <row r="156" spans="2:11" x14ac:dyDescent="0.25">
      <c r="B156" s="2"/>
      <c r="C156" s="2"/>
      <c r="D156" s="2"/>
      <c r="E156" s="2"/>
      <c r="F156" s="2"/>
      <c r="G156" s="41"/>
      <c r="H156" s="2"/>
      <c r="I156" s="2"/>
      <c r="J156" s="13"/>
      <c r="K156" s="41"/>
    </row>
    <row r="157" spans="2:11" x14ac:dyDescent="0.25">
      <c r="B157" s="6"/>
      <c r="C157" s="6"/>
      <c r="D157" s="6"/>
      <c r="E157" s="6"/>
      <c r="F157" s="6"/>
      <c r="G157" s="7"/>
      <c r="H157" s="6"/>
      <c r="I157" s="6"/>
      <c r="J157" s="5"/>
      <c r="K157" s="7"/>
    </row>
    <row r="158" spans="2:11" x14ac:dyDescent="0.25">
      <c r="B158" s="2"/>
      <c r="C158" s="2"/>
      <c r="D158" s="2"/>
      <c r="E158" s="2"/>
      <c r="F158" s="2"/>
      <c r="G158" s="41"/>
      <c r="H158" s="2"/>
      <c r="I158" s="2"/>
      <c r="J158" s="13"/>
      <c r="K158" s="41"/>
    </row>
    <row r="159" spans="2:11" x14ac:dyDescent="0.25">
      <c r="B159" s="6"/>
      <c r="C159" s="6"/>
      <c r="D159" s="6"/>
      <c r="E159" s="6"/>
      <c r="F159" s="6"/>
      <c r="G159" s="7"/>
      <c r="H159" s="6"/>
      <c r="I159" s="6"/>
      <c r="J159" s="5"/>
      <c r="K159" s="7"/>
    </row>
    <row r="160" spans="2:11" x14ac:dyDescent="0.25">
      <c r="B160" s="2"/>
      <c r="C160" s="2"/>
      <c r="D160" s="2"/>
      <c r="E160" s="2"/>
      <c r="F160" s="2"/>
      <c r="G160" s="41"/>
      <c r="H160" s="2"/>
      <c r="I160" s="2"/>
      <c r="J160" s="13"/>
      <c r="K160" s="41"/>
    </row>
    <row r="161" spans="2:11" x14ac:dyDescent="0.25">
      <c r="B161" s="6"/>
      <c r="C161" s="6"/>
      <c r="D161" s="6"/>
      <c r="E161" s="6"/>
      <c r="F161" s="6"/>
      <c r="G161" s="7"/>
      <c r="H161" s="6"/>
      <c r="I161" s="6"/>
      <c r="J161" s="5"/>
      <c r="K161" s="7"/>
    </row>
    <row r="162" spans="2:11" x14ac:dyDescent="0.25">
      <c r="B162" s="2"/>
      <c r="C162" s="2"/>
      <c r="D162" s="2"/>
      <c r="E162" s="2"/>
      <c r="F162" s="2"/>
      <c r="G162" s="41"/>
      <c r="H162" s="2"/>
      <c r="I162" s="2"/>
      <c r="J162" s="13"/>
      <c r="K162" s="41"/>
    </row>
    <row r="163" spans="2:11" x14ac:dyDescent="0.25">
      <c r="B163" s="6"/>
      <c r="C163" s="6"/>
      <c r="D163" s="6"/>
      <c r="E163" s="6"/>
      <c r="F163" s="6"/>
      <c r="G163" s="7"/>
      <c r="H163" s="6"/>
      <c r="I163" s="6"/>
      <c r="J163" s="5"/>
      <c r="K163" s="7"/>
    </row>
    <row r="164" spans="2:11" x14ac:dyDescent="0.25">
      <c r="B164" s="2"/>
      <c r="C164" s="2"/>
      <c r="D164" s="2"/>
      <c r="E164" s="2"/>
      <c r="F164" s="2"/>
      <c r="G164" s="41"/>
      <c r="H164" s="2"/>
      <c r="I164" s="2"/>
      <c r="J164" s="13"/>
      <c r="K164" s="41"/>
    </row>
    <row r="165" spans="2:11" x14ac:dyDescent="0.25">
      <c r="B165" s="6"/>
      <c r="C165" s="6"/>
      <c r="D165" s="6"/>
      <c r="E165" s="6"/>
      <c r="F165" s="6"/>
      <c r="G165" s="7"/>
      <c r="H165" s="6"/>
      <c r="I165" s="6"/>
      <c r="J165" s="5"/>
      <c r="K165" s="7"/>
    </row>
    <row r="166" spans="2:11" x14ac:dyDescent="0.25">
      <c r="B166" s="6"/>
      <c r="C166" s="6"/>
      <c r="D166" s="6"/>
      <c r="E166" s="6"/>
      <c r="F166" s="6"/>
      <c r="G166" s="7"/>
      <c r="H166" s="6"/>
      <c r="I166" s="6"/>
      <c r="J166" s="5"/>
      <c r="K166" s="7"/>
    </row>
    <row r="167" spans="2:11" x14ac:dyDescent="0.25">
      <c r="B167" s="2"/>
      <c r="C167" s="2"/>
      <c r="D167" s="2"/>
      <c r="E167" s="2"/>
      <c r="F167" s="2"/>
      <c r="G167" s="41"/>
      <c r="H167" s="2"/>
      <c r="I167" s="2"/>
      <c r="J167" s="13"/>
      <c r="K167" s="41"/>
    </row>
    <row r="168" spans="2:11" x14ac:dyDescent="0.25">
      <c r="B168" s="6"/>
      <c r="C168" s="6"/>
      <c r="D168" s="6"/>
      <c r="E168" s="6"/>
      <c r="F168" s="6"/>
      <c r="G168" s="7"/>
      <c r="H168" s="6"/>
      <c r="I168" s="6"/>
      <c r="J168" s="5"/>
      <c r="K168" s="7"/>
    </row>
    <row r="169" spans="2:11" x14ac:dyDescent="0.25">
      <c r="B169" s="2"/>
      <c r="C169" s="2"/>
      <c r="D169" s="2"/>
      <c r="E169" s="2"/>
      <c r="F169" s="2"/>
      <c r="G169" s="41"/>
      <c r="H169" s="2"/>
      <c r="I169" s="2"/>
      <c r="J169" s="13"/>
      <c r="K169" s="41"/>
    </row>
    <row r="170" spans="2:11" x14ac:dyDescent="0.25">
      <c r="B170" s="6"/>
      <c r="C170" s="6"/>
      <c r="D170" s="6"/>
      <c r="E170" s="6"/>
      <c r="F170" s="6"/>
      <c r="G170" s="7"/>
      <c r="H170" s="6"/>
      <c r="I170" s="6"/>
      <c r="J170" s="5"/>
      <c r="K170" s="7"/>
    </row>
    <row r="171" spans="2:11" x14ac:dyDescent="0.25">
      <c r="B171" s="2"/>
      <c r="C171" s="2"/>
      <c r="D171" s="2"/>
      <c r="E171" s="2"/>
      <c r="F171" s="2"/>
      <c r="G171" s="41"/>
      <c r="H171" s="2"/>
      <c r="I171" s="2"/>
      <c r="J171" s="13"/>
      <c r="K171" s="41"/>
    </row>
    <row r="172" spans="2:11" x14ac:dyDescent="0.25">
      <c r="B172" s="6"/>
      <c r="C172" s="6"/>
      <c r="D172" s="6"/>
      <c r="E172" s="6"/>
      <c r="F172" s="6"/>
      <c r="G172" s="7"/>
      <c r="H172" s="6"/>
      <c r="I172" s="6"/>
      <c r="J172" s="5"/>
      <c r="K172" s="7"/>
    </row>
    <row r="173" spans="2:11" x14ac:dyDescent="0.25">
      <c r="B173" s="2"/>
      <c r="C173" s="2"/>
      <c r="D173" s="2"/>
      <c r="E173" s="2"/>
      <c r="F173" s="2"/>
      <c r="G173" s="41"/>
      <c r="H173" s="2"/>
      <c r="I173" s="2"/>
      <c r="J173" s="13"/>
      <c r="K173" s="41"/>
    </row>
    <row r="174" spans="2:11" x14ac:dyDescent="0.25">
      <c r="B174" s="6"/>
      <c r="C174" s="6"/>
      <c r="D174" s="6"/>
      <c r="E174" s="6"/>
      <c r="F174" s="6"/>
      <c r="G174" s="7"/>
      <c r="H174" s="6"/>
      <c r="I174" s="6"/>
      <c r="J174" s="5"/>
      <c r="K174" s="7"/>
    </row>
    <row r="175" spans="2:11" x14ac:dyDescent="0.25">
      <c r="B175" s="2"/>
      <c r="C175" s="2"/>
      <c r="D175" s="2"/>
      <c r="E175" s="2"/>
      <c r="F175" s="2"/>
      <c r="G175" s="41"/>
      <c r="H175" s="2"/>
      <c r="I175" s="2"/>
      <c r="J175" s="13"/>
      <c r="K175" s="41"/>
    </row>
    <row r="176" spans="2:11" x14ac:dyDescent="0.25">
      <c r="B176" s="6"/>
      <c r="C176" s="6"/>
      <c r="D176" s="6"/>
      <c r="E176" s="6"/>
      <c r="F176" s="6"/>
      <c r="G176" s="7"/>
      <c r="H176" s="6"/>
      <c r="I176" s="6"/>
      <c r="J176" s="5"/>
      <c r="K176" s="7"/>
    </row>
    <row r="177" spans="2:11" x14ac:dyDescent="0.25">
      <c r="B177" s="2"/>
      <c r="C177" s="2"/>
      <c r="D177" s="2"/>
      <c r="E177" s="2"/>
      <c r="F177" s="2"/>
      <c r="G177" s="41"/>
      <c r="H177" s="2"/>
      <c r="I177" s="2"/>
      <c r="J177" s="13"/>
      <c r="K177" s="41"/>
    </row>
    <row r="178" spans="2:11" x14ac:dyDescent="0.25">
      <c r="B178" s="6"/>
      <c r="C178" s="6"/>
      <c r="D178" s="6"/>
      <c r="E178" s="6"/>
      <c r="F178" s="6"/>
      <c r="G178" s="7"/>
      <c r="H178" s="6"/>
      <c r="I178" s="6"/>
      <c r="J178" s="5"/>
      <c r="K178" s="7"/>
    </row>
    <row r="179" spans="2:11" x14ac:dyDescent="0.25">
      <c r="B179" s="2"/>
      <c r="C179" s="2"/>
      <c r="D179" s="2"/>
      <c r="E179" s="2"/>
      <c r="F179" s="2"/>
      <c r="G179" s="41"/>
      <c r="H179" s="2"/>
      <c r="I179" s="2"/>
      <c r="J179" s="13"/>
      <c r="K179" s="41"/>
    </row>
    <row r="180" spans="2:11" x14ac:dyDescent="0.25">
      <c r="B180" s="6"/>
      <c r="C180" s="6"/>
      <c r="D180" s="6"/>
      <c r="E180" s="6"/>
      <c r="F180" s="6"/>
      <c r="G180" s="7"/>
      <c r="H180" s="6"/>
      <c r="I180" s="6"/>
      <c r="J180" s="5"/>
      <c r="K180" s="7"/>
    </row>
    <row r="181" spans="2:11" x14ac:dyDescent="0.25">
      <c r="B181" s="2"/>
      <c r="C181" s="2"/>
      <c r="D181" s="2"/>
      <c r="E181" s="2"/>
      <c r="F181" s="2"/>
      <c r="G181" s="41"/>
      <c r="H181" s="2"/>
      <c r="I181" s="2"/>
      <c r="J181" s="13"/>
      <c r="K181" s="41"/>
    </row>
    <row r="182" spans="2:11" x14ac:dyDescent="0.25">
      <c r="B182" s="6"/>
      <c r="C182" s="6"/>
      <c r="D182" s="6"/>
      <c r="E182" s="6"/>
      <c r="F182" s="6"/>
      <c r="G182" s="7"/>
      <c r="H182" s="6"/>
      <c r="I182" s="6"/>
      <c r="J182" s="5"/>
      <c r="K182" s="7"/>
    </row>
    <row r="183" spans="2:11" x14ac:dyDescent="0.25">
      <c r="B183" s="2"/>
      <c r="C183" s="2"/>
      <c r="D183" s="2"/>
      <c r="E183" s="2"/>
      <c r="F183" s="2"/>
      <c r="G183" s="41"/>
      <c r="H183" s="2"/>
      <c r="I183" s="2"/>
      <c r="J183" s="13"/>
      <c r="K183" s="41"/>
    </row>
    <row r="184" spans="2:11" x14ac:dyDescent="0.25">
      <c r="B184" s="6"/>
      <c r="C184" s="6"/>
      <c r="D184" s="6"/>
      <c r="E184" s="6"/>
      <c r="F184" s="6"/>
      <c r="G184" s="7"/>
      <c r="H184" s="6"/>
      <c r="I184" s="6"/>
      <c r="J184" s="5"/>
      <c r="K184" s="7"/>
    </row>
    <row r="185" spans="2:11" x14ac:dyDescent="0.25">
      <c r="B185" s="2"/>
      <c r="C185" s="2"/>
      <c r="D185" s="2"/>
      <c r="E185" s="2"/>
      <c r="F185" s="2"/>
      <c r="G185" s="41"/>
      <c r="H185" s="2"/>
      <c r="I185" s="2"/>
      <c r="J185" s="13"/>
      <c r="K185" s="41"/>
    </row>
    <row r="186" spans="2:11" x14ac:dyDescent="0.25">
      <c r="B186" s="6"/>
      <c r="C186" s="6"/>
      <c r="D186" s="6"/>
      <c r="E186" s="6"/>
      <c r="F186" s="6"/>
      <c r="G186" s="7"/>
      <c r="H186" s="6"/>
      <c r="I186" s="6"/>
      <c r="J186" s="5"/>
      <c r="K186" s="7"/>
    </row>
    <row r="187" spans="2:11" x14ac:dyDescent="0.25">
      <c r="B187" s="2"/>
      <c r="C187" s="2"/>
      <c r="D187" s="2"/>
      <c r="E187" s="2"/>
      <c r="F187" s="2"/>
      <c r="G187" s="41"/>
      <c r="H187" s="2"/>
      <c r="I187" s="2"/>
      <c r="J187" s="13"/>
      <c r="K187" s="41"/>
    </row>
    <row r="188" spans="2:11" x14ac:dyDescent="0.25">
      <c r="B188" s="6"/>
      <c r="C188" s="6"/>
      <c r="D188" s="6"/>
      <c r="E188" s="6"/>
      <c r="F188" s="6"/>
      <c r="G188" s="7"/>
      <c r="H188" s="6"/>
      <c r="I188" s="6"/>
      <c r="J188" s="5"/>
      <c r="K188" s="7"/>
    </row>
    <row r="189" spans="2:11" x14ac:dyDescent="0.25">
      <c r="B189" s="2"/>
      <c r="C189" s="2"/>
      <c r="D189" s="2"/>
      <c r="E189" s="2"/>
      <c r="F189" s="2"/>
      <c r="G189" s="41"/>
      <c r="H189" s="2"/>
      <c r="I189" s="2"/>
      <c r="J189" s="13"/>
      <c r="K189" s="41"/>
    </row>
  </sheetData>
  <sheetProtection algorithmName="SHA-512" hashValue="hHdtCIvr5YkLa/cZC8Rhub1gs6NTids8fng33tSmcCqq+uYjUaqLv2NuvWWAvq0f7lSkUkNBX/844ROJnsQ31g==" saltValue="Di6P6jJC9zZ8dotyvejQvA==" spinCount="100000" sheet="1" objects="1" scenarios="1" autoFilter="0"/>
  <autoFilter ref="B33:K49" xr:uid="{D1A167AD-C8AA-4DD4-9A42-CE851CD7C6C1}"/>
  <mergeCells count="1">
    <mergeCell ref="B6:C7"/>
  </mergeCells>
  <dataValidations count="2">
    <dataValidation type="whole" allowBlank="1" showInputMessage="1" showErrorMessage="1" error="Enter Staff ID" sqref="C9" xr:uid="{10A8EAA5-338E-43E9-8AD1-42778276BCB8}">
      <formula1>1</formula1>
      <formula2>20</formula2>
    </dataValidation>
    <dataValidation type="whole" allowBlank="1" showInputMessage="1" showErrorMessage="1" sqref="C18" xr:uid="{F6F5178D-477B-4BB4-8A44-5F6611F530E2}">
      <formula1>1</formula1>
      <formula2>60</formula2>
    </dataValidation>
  </dataValidations>
  <pageMargins left="0.7" right="0.7" top="0.75" bottom="0.75" header="0.3" footer="0.3"/>
  <pageSetup paperSize="9" orientation="portrait" r:id="rId1"/>
  <ignoredErrors>
    <ignoredError sqref="H2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Wagesubmit">
                <anchor moveWithCells="1" sizeWithCells="1">
                  <from>
                    <xdr:col>9</xdr:col>
                    <xdr:colOff>1323975</xdr:colOff>
                    <xdr:row>29</xdr:row>
                    <xdr:rowOff>19050</xdr:rowOff>
                  </from>
                  <to>
                    <xdr:col>10</xdr:col>
                    <xdr:colOff>323850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Go_home">
                <anchor moveWithCells="1" sizeWithCells="1">
                  <from>
                    <xdr:col>1</xdr:col>
                    <xdr:colOff>200025</xdr:colOff>
                    <xdr:row>29</xdr:row>
                    <xdr:rowOff>19050</xdr:rowOff>
                  </from>
                  <to>
                    <xdr:col>2</xdr:col>
                    <xdr:colOff>9525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Drop Down 8">
              <controlPr locked="0" defaultSize="0" autoLine="0" autoPict="0">
                <anchor moveWithCells="1">
                  <from>
                    <xdr:col>3</xdr:col>
                    <xdr:colOff>1133475</xdr:colOff>
                    <xdr:row>17</xdr:row>
                    <xdr:rowOff>0</xdr:rowOff>
                  </from>
                  <to>
                    <xdr:col>4</xdr:col>
                    <xdr:colOff>876300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7" name="Button 9">
              <controlPr defaultSize="0" print="0" autoFill="0" autoPict="0" macro="[0]!Clear_wage">
                <anchor moveWithCells="1" sizeWithCells="1">
                  <from>
                    <xdr:col>10</xdr:col>
                    <xdr:colOff>476250</xdr:colOff>
                    <xdr:row>29</xdr:row>
                    <xdr:rowOff>19050</xdr:rowOff>
                  </from>
                  <to>
                    <xdr:col>10</xdr:col>
                    <xdr:colOff>1381125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8" name="Button 10">
              <controlPr defaultSize="0" print="0" autoFill="0" autoPict="0" macro="[0]!go_staff">
                <anchor moveWithCells="1" sizeWithCells="1">
                  <from>
                    <xdr:col>2</xdr:col>
                    <xdr:colOff>133350</xdr:colOff>
                    <xdr:row>29</xdr:row>
                    <xdr:rowOff>28575</xdr:rowOff>
                  </from>
                  <to>
                    <xdr:col>3</xdr:col>
                    <xdr:colOff>171450</xdr:colOff>
                    <xdr:row>30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9" name="Button 11">
              <controlPr defaultSize="0" print="0" autoFill="0" autoPict="0" macro="[0]!pivotWage">
                <anchor moveWithCells="1" sizeWithCells="1">
                  <from>
                    <xdr:col>3</xdr:col>
                    <xdr:colOff>276225</xdr:colOff>
                    <xdr:row>29</xdr:row>
                    <xdr:rowOff>28575</xdr:rowOff>
                  </from>
                  <to>
                    <xdr:col>4</xdr:col>
                    <xdr:colOff>0</xdr:colOff>
                    <xdr:row>30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EA844-3F46-4962-ACE5-F2DBFB7EF392}">
  <sheetPr codeName="Sheet6">
    <tabColor rgb="FFFFC000"/>
  </sheetPr>
  <dimension ref="A6:E14"/>
  <sheetViews>
    <sheetView workbookViewId="0">
      <selection activeCell="G56" sqref="G56"/>
    </sheetView>
  </sheetViews>
  <sheetFormatPr defaultRowHeight="15" x14ac:dyDescent="0.25"/>
  <cols>
    <col min="1" max="2" width="13.140625" style="14" bestFit="1" customWidth="1"/>
    <col min="3" max="3" width="24.42578125" style="14" bestFit="1" customWidth="1"/>
    <col min="4" max="4" width="13.140625" style="14" customWidth="1"/>
    <col min="5" max="16384" width="9.140625" style="14"/>
  </cols>
  <sheetData>
    <row r="6" spans="1:5" x14ac:dyDescent="0.25">
      <c r="A6" s="4"/>
      <c r="B6" s="4"/>
      <c r="C6" s="4"/>
      <c r="D6" s="4"/>
      <c r="E6" s="4"/>
    </row>
    <row r="7" spans="1:5" x14ac:dyDescent="0.25">
      <c r="A7" s="4"/>
      <c r="B7" s="4"/>
      <c r="C7" s="4"/>
      <c r="D7" s="4"/>
      <c r="E7" s="4"/>
    </row>
    <row r="8" spans="1:5" x14ac:dyDescent="0.25">
      <c r="A8" s="219"/>
      <c r="B8" s="220" t="s">
        <v>178</v>
      </c>
      <c r="C8" t="s">
        <v>179</v>
      </c>
    </row>
    <row r="9" spans="1:5" x14ac:dyDescent="0.25">
      <c r="B9" s="62" t="s">
        <v>134</v>
      </c>
      <c r="C9">
        <v>320</v>
      </c>
    </row>
    <row r="10" spans="1:5" x14ac:dyDescent="0.25">
      <c r="B10" s="62" t="s">
        <v>135</v>
      </c>
      <c r="C10">
        <v>100</v>
      </c>
    </row>
    <row r="11" spans="1:5" x14ac:dyDescent="0.25">
      <c r="B11" s="62" t="s">
        <v>131</v>
      </c>
      <c r="C11">
        <v>550</v>
      </c>
    </row>
    <row r="12" spans="1:5" x14ac:dyDescent="0.25">
      <c r="B12" s="62" t="s">
        <v>204</v>
      </c>
      <c r="C12"/>
    </row>
    <row r="13" spans="1:5" x14ac:dyDescent="0.25">
      <c r="B13" s="62" t="s">
        <v>180</v>
      </c>
      <c r="C13">
        <v>970</v>
      </c>
    </row>
    <row r="14" spans="1:5" x14ac:dyDescent="0.25">
      <c r="B14"/>
      <c r="C14"/>
    </row>
  </sheetData>
  <sheetProtection algorithmName="SHA-512" hashValue="WeKuLzChptVq3fQD46nuZ57NzfsJ5mfb3Ksp6kMr2GL3Qd9raFmIMKhbozCojAyNOwaJMKKC3RZJqFLA3FkHkg==" saltValue="Fr6obx8cGIh1fhf0+vVVvA==" spinCount="100000" sheet="1" objects="1" scenarios="1" sort="0" autoFilter="0" pivotTables="0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5" name="Button 1">
              <controlPr defaultSize="0" print="0" autoFill="0" autoPict="0" macro="[0]!Go_home">
                <anchor moveWithCells="1" sizeWithCells="1">
                  <from>
                    <xdr:col>0</xdr:col>
                    <xdr:colOff>123825</xdr:colOff>
                    <xdr:row>5</xdr:row>
                    <xdr:rowOff>57150</xdr:rowOff>
                  </from>
                  <to>
                    <xdr:col>1</xdr:col>
                    <xdr:colOff>38100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6" name="Button 2">
              <controlPr defaultSize="0" print="0" autoFill="0" autoPict="0" macro="[0]!go_staff">
                <anchor moveWithCells="1" sizeWithCells="1">
                  <from>
                    <xdr:col>1</xdr:col>
                    <xdr:colOff>114300</xdr:colOff>
                    <xdr:row>5</xdr:row>
                    <xdr:rowOff>66675</xdr:rowOff>
                  </from>
                  <to>
                    <xdr:col>1</xdr:col>
                    <xdr:colOff>904875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58E16-C321-43EE-B8C9-585534CA99C1}">
  <sheetPr codeName="Sheet7">
    <tabColor rgb="FF00B0F0"/>
  </sheetPr>
  <dimension ref="A6:AD24"/>
  <sheetViews>
    <sheetView tabSelected="1" zoomScaleNormal="100" workbookViewId="0">
      <selection activeCell="AD54" sqref="AD54"/>
    </sheetView>
  </sheetViews>
  <sheetFormatPr defaultRowHeight="15" x14ac:dyDescent="0.25"/>
  <cols>
    <col min="1" max="1" width="9.140625" style="14"/>
    <col min="2" max="2" width="11.7109375" style="14" customWidth="1"/>
    <col min="3" max="3" width="11" style="14" customWidth="1"/>
    <col min="4" max="4" width="13" style="14" customWidth="1"/>
    <col min="5" max="5" width="11.7109375" style="14" customWidth="1"/>
    <col min="6" max="7" width="12.42578125" style="14" customWidth="1"/>
    <col min="8" max="9" width="9.140625" style="14"/>
    <col min="10" max="10" width="11.7109375" style="14" customWidth="1"/>
    <col min="11" max="11" width="10.5703125" style="14" bestFit="1" customWidth="1"/>
    <col min="12" max="12" width="10.5703125" style="14" customWidth="1"/>
    <col min="13" max="14" width="9.140625" style="14"/>
    <col min="15" max="15" width="10.7109375" style="14" customWidth="1"/>
    <col min="16" max="16" width="9.140625" style="14"/>
    <col min="17" max="17" width="10.5703125" style="14" bestFit="1" customWidth="1"/>
    <col min="18" max="18" width="9.140625" style="14"/>
    <col min="19" max="19" width="9.28515625" style="14" customWidth="1"/>
    <col min="20" max="30" width="9.140625" style="14"/>
  </cols>
  <sheetData>
    <row r="6" spans="2:25" ht="18" customHeight="1" x14ac:dyDescent="0.25">
      <c r="B6" s="237" t="s">
        <v>169</v>
      </c>
      <c r="C6" s="247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</row>
    <row r="7" spans="2:25" ht="18" customHeight="1" x14ac:dyDescent="0.25">
      <c r="B7" s="247"/>
      <c r="C7" s="247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</row>
    <row r="8" spans="2:25" s="14" customFormat="1" ht="18" customHeight="1" x14ac:dyDescent="0.25"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145"/>
    </row>
    <row r="9" spans="2:25" ht="18" customHeight="1" x14ac:dyDescent="0.25">
      <c r="B9" s="150" t="s">
        <v>162</v>
      </c>
      <c r="C9" s="151"/>
      <c r="D9" s="152"/>
      <c r="E9" s="96"/>
      <c r="F9" s="153" t="s">
        <v>163</v>
      </c>
      <c r="G9" s="151"/>
      <c r="H9" s="152"/>
      <c r="I9" s="96"/>
      <c r="J9" s="153" t="s">
        <v>165</v>
      </c>
      <c r="K9" s="151"/>
      <c r="L9" s="151"/>
      <c r="M9" s="152"/>
      <c r="N9" s="96"/>
      <c r="O9" s="154" t="s">
        <v>168</v>
      </c>
      <c r="P9" s="155"/>
    </row>
    <row r="10" spans="2:25" ht="18" customHeight="1" x14ac:dyDescent="0.25">
      <c r="B10" s="156"/>
      <c r="C10" s="157">
        <v>2024</v>
      </c>
      <c r="D10" s="157">
        <v>2025</v>
      </c>
      <c r="E10" s="96"/>
      <c r="F10" s="158"/>
      <c r="G10" s="157">
        <v>2024</v>
      </c>
      <c r="H10" s="157">
        <v>2025</v>
      </c>
      <c r="I10" s="96"/>
      <c r="J10" s="158"/>
      <c r="K10" s="159">
        <v>2024</v>
      </c>
      <c r="L10" s="157" t="s">
        <v>164</v>
      </c>
      <c r="M10" s="159">
        <v>2025</v>
      </c>
      <c r="N10" s="96"/>
      <c r="O10" s="160" t="s">
        <v>146</v>
      </c>
      <c r="P10" s="161"/>
    </row>
    <row r="11" spans="2:25" ht="18" customHeight="1" x14ac:dyDescent="0.25">
      <c r="B11" s="156" t="s">
        <v>147</v>
      </c>
      <c r="C11" s="162">
        <f>SUMIFS(Wages!K34:K300, Wages!J34:J300, "&gt;=1/01/2024", Wages!J34:J300, "&lt;=31/01/2024")</f>
        <v>550</v>
      </c>
      <c r="D11" s="162">
        <f>SUMIFS(Wages!L34:L300, Wages!K34:K300, "&gt;=1/01/2025", Wages!K34:K300, "&lt;=31/01/2025")</f>
        <v>0</v>
      </c>
      <c r="E11" s="96"/>
      <c r="F11" s="119" t="s">
        <v>147</v>
      </c>
      <c r="G11" s="163">
        <f>SUMIFS(Invoices!M33:M30000,Invoices!B33:B30000, "&gt;=1/01/2024",Invoices!B33:B30000, "&lt;=31/01/2024")</f>
        <v>0</v>
      </c>
      <c r="H11" s="163">
        <f>SUMIFS(Invoices!N33:N300,Invoices!C33:C300, "&gt;=1/01/2025",Invoices!C33:C300, "&lt;=31/01/2025")</f>
        <v>0</v>
      </c>
      <c r="I11" s="145"/>
      <c r="J11" s="158" t="s">
        <v>147</v>
      </c>
      <c r="K11" s="163">
        <f>G11-C11</f>
        <v>-550</v>
      </c>
      <c r="L11" s="164" t="str">
        <f>IF(C11&gt;G11,"In Loss",IF(G11&gt;C11,"Profit",""))</f>
        <v>In Loss</v>
      </c>
      <c r="M11" s="165"/>
      <c r="N11" s="96"/>
      <c r="O11" s="166">
        <f>SUM(Wages!K34:K300)</f>
        <v>1829</v>
      </c>
      <c r="P11" s="167"/>
      <c r="Q11" s="48"/>
    </row>
    <row r="12" spans="2:25" ht="18" customHeight="1" x14ac:dyDescent="0.25">
      <c r="B12" s="168" t="s">
        <v>148</v>
      </c>
      <c r="C12" s="169">
        <f>SUMIFS(Wages!K34:K300, Wages!J34:J300, "&gt;=01/02/2024", Wages!J34:J300, "&lt;=29/02/2024")</f>
        <v>820</v>
      </c>
      <c r="D12" s="169">
        <f>SUMIFS(Wages!L34:L300, Wages!K34:K300, "&gt;=01/02/2025", Wages!K34:K300, "&lt;=29/02/2025")</f>
        <v>0</v>
      </c>
      <c r="E12" s="96"/>
      <c r="F12" s="159" t="s">
        <v>148</v>
      </c>
      <c r="G12" s="170">
        <f>SUMIFS(Invoices!M33:M30000,Invoices!B33:B30000, "&gt;=1/02/2024",Invoices!B33:B30000, "&lt;=29/02/2024")</f>
        <v>1758.25</v>
      </c>
      <c r="H12" s="170">
        <f>SUMIFS(Invoices!N33:N300,Invoices!C33:C300, "&gt;=1/02/2025",Invoices!C33:C300, "&lt;=29/02/2025")</f>
        <v>0</v>
      </c>
      <c r="I12" s="145"/>
      <c r="J12" s="159" t="s">
        <v>148</v>
      </c>
      <c r="K12" s="170">
        <f>G12-C12</f>
        <v>938.25</v>
      </c>
      <c r="L12" s="171" t="str">
        <f>IF(C12&gt;G12,"In Loss",IF(G12&gt;C12,"Profit"))</f>
        <v>Profit</v>
      </c>
      <c r="M12" s="172"/>
      <c r="N12" s="96"/>
      <c r="O12" s="173" t="s">
        <v>166</v>
      </c>
      <c r="P12" s="174"/>
      <c r="Y12" s="44"/>
    </row>
    <row r="13" spans="2:25" ht="18" customHeight="1" x14ac:dyDescent="0.25">
      <c r="B13" s="156" t="s">
        <v>149</v>
      </c>
      <c r="C13" s="162">
        <f>SUMIFS(Wages!K34:K300, Wages!J34:J300, "&gt;=01/03/2024", Wages!J34:J300, "&lt;=31/03/2024")</f>
        <v>459</v>
      </c>
      <c r="D13" s="162">
        <f>SUMIFS(Wages!L34:L300, Wages!K34:K300, "&gt;=01/03/2025", Wages!K34:K300, "&lt;=31/03/2025")</f>
        <v>0</v>
      </c>
      <c r="E13" s="96"/>
      <c r="F13" s="158" t="s">
        <v>149</v>
      </c>
      <c r="G13" s="163">
        <f>SUMIFS(Invoices!M33:M30000,Invoices!B33:B30000, "&gt;=1/03/2024",Invoices!B33:B30000, "&lt;=31/03/2024")</f>
        <v>479.85</v>
      </c>
      <c r="H13" s="163">
        <f>SUMIFS(Invoices!N33:N300,Invoices!C33:C300, "&gt;=1/03/2025",Invoices!C33:C300, "&lt;=31/03/2025")</f>
        <v>0</v>
      </c>
      <c r="I13" s="145"/>
      <c r="J13" s="158" t="s">
        <v>149</v>
      </c>
      <c r="K13" s="163">
        <f t="shared" ref="K13:K22" si="0">G13-C13</f>
        <v>20.850000000000023</v>
      </c>
      <c r="L13" s="164" t="str">
        <f t="shared" ref="L13:L22" si="1">IF(C13&gt;G13,"In Loss",IF(G13&gt;C13,"Profit",""))</f>
        <v>Profit</v>
      </c>
      <c r="M13" s="165"/>
      <c r="N13" s="96"/>
      <c r="O13" s="175">
        <f>SUM(Invoices!M33:M300)</f>
        <v>2238.1</v>
      </c>
      <c r="P13" s="176"/>
    </row>
    <row r="14" spans="2:25" ht="18" customHeight="1" x14ac:dyDescent="0.25">
      <c r="B14" s="168" t="s">
        <v>150</v>
      </c>
      <c r="C14" s="169">
        <f>SUMIFS(Wages!K34:K300, Wages!J34:J300, "&gt;=01/04/2024", Wages!J34:J300, "&lt;=30/04/2024")</f>
        <v>0</v>
      </c>
      <c r="D14" s="169">
        <f>SUMIFS(Wages!L34:L300, Wages!K34:K300, "&gt;=01/04/2025", Wages!K34:K300, "&lt;=30/04/2025")</f>
        <v>0</v>
      </c>
      <c r="E14" s="96"/>
      <c r="F14" s="159" t="s">
        <v>150</v>
      </c>
      <c r="G14" s="170">
        <f>SUMIFS(Invoices!M33:M30000,Invoices!B33:B30000, "&gt;=1/04/2024",Invoices!B33:B30000, "&lt;=30/04/2024")</f>
        <v>0</v>
      </c>
      <c r="H14" s="170">
        <f>SUMIFS(Invoices!N33:N300,Invoices!C33:C300, "&gt;=1/04/2025",Invoices!C33:C300, "&lt;=30/04/2025")</f>
        <v>0</v>
      </c>
      <c r="I14" s="145"/>
      <c r="J14" s="159" t="s">
        <v>150</v>
      </c>
      <c r="K14" s="170">
        <f t="shared" si="0"/>
        <v>0</v>
      </c>
      <c r="L14" s="171" t="str">
        <f t="shared" si="1"/>
        <v/>
      </c>
      <c r="M14" s="172"/>
      <c r="N14" s="96"/>
      <c r="O14" s="177" t="s">
        <v>167</v>
      </c>
      <c r="P14" s="178"/>
    </row>
    <row r="15" spans="2:25" ht="18" customHeight="1" x14ac:dyDescent="0.25">
      <c r="B15" s="156" t="s">
        <v>151</v>
      </c>
      <c r="C15" s="162">
        <f>SUMIFS(Wages!K34:K300, Wages!J34:J300, "&gt;=01/05/2024", Wages!J34:J300, "&lt;=31/05/2024")</f>
        <v>0</v>
      </c>
      <c r="D15" s="162">
        <f>SUMIFS(Wages!L34:L300, Wages!K34:K300, "&gt;=01/05/2025", Wages!K34:K300, "&lt;=31/05/2025")</f>
        <v>0</v>
      </c>
      <c r="E15" s="96"/>
      <c r="F15" s="158" t="s">
        <v>151</v>
      </c>
      <c r="G15" s="163">
        <f>SUMIFS(Invoices!M33:M30000,Invoices!B33:B30000, "&gt;=1/05/2024",Invoices!B33:B30000, "&lt;=31/05/2024")</f>
        <v>0</v>
      </c>
      <c r="H15" s="163">
        <f>SUMIFS(Invoices!N33:N300,Invoices!C33:C300, "&gt;=1/05/2025",Invoices!C33:C300, "&lt;=31/05/2025")</f>
        <v>0</v>
      </c>
      <c r="I15" s="145"/>
      <c r="J15" s="158" t="s">
        <v>151</v>
      </c>
      <c r="K15" s="163">
        <f t="shared" si="0"/>
        <v>0</v>
      </c>
      <c r="L15" s="179" t="str">
        <f t="shared" si="1"/>
        <v/>
      </c>
      <c r="M15" s="165"/>
      <c r="N15" s="96"/>
      <c r="O15" s="180">
        <f>O13-O11</f>
        <v>409.09999999999991</v>
      </c>
      <c r="P15" s="181"/>
    </row>
    <row r="16" spans="2:25" ht="18" customHeight="1" x14ac:dyDescent="0.25">
      <c r="B16" s="168" t="s">
        <v>152</v>
      </c>
      <c r="C16" s="169">
        <f>SUMIFS(Wages!K34:K300, Wages!J34:J300, "&gt;=01/06/2024", Wages!J34:J300, "&lt;=30/06/2024")</f>
        <v>0</v>
      </c>
      <c r="D16" s="169">
        <f>SUMIFS(Wages!L34:L300, Wages!K34:K300, "&gt;=01/06/2025", Wages!K34:K300, "&lt;=30/06/2025")</f>
        <v>0</v>
      </c>
      <c r="E16" s="96"/>
      <c r="F16" s="159" t="s">
        <v>152</v>
      </c>
      <c r="G16" s="170">
        <f>SUMIFS(Invoices!M33:M30000,Invoices!B33:B30000, "&gt;=1/06/2024",Invoices!B33:B30000, "&lt;=30/06/2024")</f>
        <v>0</v>
      </c>
      <c r="H16" s="170">
        <f>SUMIFS(Invoices!N33:N300,Invoices!C33:C300, "&gt;=1/06/2025",Invoices!C33:C300, "&lt;=30/06/2025")</f>
        <v>0</v>
      </c>
      <c r="I16" s="145"/>
      <c r="J16" s="159" t="s">
        <v>152</v>
      </c>
      <c r="K16" s="170">
        <f t="shared" si="0"/>
        <v>0</v>
      </c>
      <c r="L16" s="171" t="str">
        <f t="shared" si="1"/>
        <v/>
      </c>
      <c r="M16" s="172"/>
      <c r="N16" s="96"/>
      <c r="O16" s="96"/>
      <c r="P16" s="145"/>
    </row>
    <row r="17" spans="2:16" ht="18" customHeight="1" x14ac:dyDescent="0.25">
      <c r="B17" s="156" t="s">
        <v>153</v>
      </c>
      <c r="C17" s="162">
        <f>SUMIFS(Wages!K34:K300, Wages!J34:J300, "&gt;=01/07/2024", Wages!J34:J300, "&lt;=31/07/2024")</f>
        <v>0</v>
      </c>
      <c r="D17" s="162">
        <f>SUMIFS(Wages!L34:L300, Wages!K34:K300, "&gt;=01/07/2025", Wages!K34:K300, "&lt;=31/07/2025")</f>
        <v>0</v>
      </c>
      <c r="E17" s="96"/>
      <c r="F17" s="158" t="s">
        <v>153</v>
      </c>
      <c r="G17" s="163">
        <f>SUMIFS(Invoices!M33:M30000,Invoices!B33:B30000, "&gt;=1/07/2024",Invoices!B33:B30000, "&lt;=31/07/2024")</f>
        <v>0</v>
      </c>
      <c r="H17" s="163">
        <f>SUMIFS(Invoices!N33:N300,Invoices!C33:C300, "&gt;=1/07/2025",Invoices!C33:C300, "&lt;=31/07/2025")</f>
        <v>0</v>
      </c>
      <c r="I17" s="145"/>
      <c r="J17" s="158" t="s">
        <v>153</v>
      </c>
      <c r="K17" s="163">
        <f t="shared" si="0"/>
        <v>0</v>
      </c>
      <c r="L17" s="179" t="str">
        <f t="shared" si="1"/>
        <v/>
      </c>
      <c r="M17" s="165"/>
      <c r="N17" s="96"/>
      <c r="O17" s="96"/>
      <c r="P17" s="145"/>
    </row>
    <row r="18" spans="2:16" x14ac:dyDescent="0.25">
      <c r="B18" s="168" t="s">
        <v>154</v>
      </c>
      <c r="C18" s="169">
        <f>SUMIFS(Wages!K34:K300, Wages!J34:J300, "&gt;=01/08/2024", Wages!J34:J300, "&lt;=31/08/2024")</f>
        <v>0</v>
      </c>
      <c r="D18" s="169">
        <f>SUMIFS(Wages!L34:L300, Wages!K34:K300, "&gt;=01/08/2025", Wages!K34:K300, "&lt;=31/08/2025")</f>
        <v>0</v>
      </c>
      <c r="E18" s="96"/>
      <c r="F18" s="159" t="s">
        <v>154</v>
      </c>
      <c r="G18" s="170">
        <f>SUMIFS(Invoices!M33:M30000,Invoices!B33:B30000, "&gt;=1/08/2024",Invoices!B33:B30000, "&lt;=31/08/2024")</f>
        <v>0</v>
      </c>
      <c r="H18" s="170">
        <f>SUMIFS(Invoices!N33:N300,Invoices!C33:C300, "&gt;=1/08/2025",Invoices!C33:C300, "&lt;=31/08/2025")</f>
        <v>0</v>
      </c>
      <c r="I18" s="145"/>
      <c r="J18" s="159" t="s">
        <v>154</v>
      </c>
      <c r="K18" s="170">
        <f t="shared" si="0"/>
        <v>0</v>
      </c>
      <c r="L18" s="171" t="str">
        <f t="shared" si="1"/>
        <v/>
      </c>
      <c r="M18" s="172"/>
      <c r="N18" s="96"/>
      <c r="O18" s="96"/>
      <c r="P18" s="145"/>
    </row>
    <row r="19" spans="2:16" x14ac:dyDescent="0.25">
      <c r="B19" s="156" t="s">
        <v>155</v>
      </c>
      <c r="C19" s="162">
        <f>SUMIFS(Wages!K34:K300, Wages!J34:J300, "&gt;=01/09/2024", Wages!J34:J300, "&lt;=30/09/2024")</f>
        <v>0</v>
      </c>
      <c r="D19" s="162">
        <f>SUMIFS(Wages!L34:L300, Wages!K34:K300, "&gt;=01/09/2025", Wages!K34:K300, "&lt;=30/09/2025")</f>
        <v>0</v>
      </c>
      <c r="E19" s="96"/>
      <c r="F19" s="158" t="s">
        <v>155</v>
      </c>
      <c r="G19" s="163">
        <f>SUMIFS(Invoices!M33:M30000,Invoices!B33:B30000, "&gt;=1/09/2024",Invoices!B33:B30000, "&lt;=30/09/2024")</f>
        <v>0</v>
      </c>
      <c r="H19" s="163">
        <f>SUMIFS(Invoices!N33:N300,Invoices!C33:C300, "&gt;=1/09/2025",Invoices!C33:C300, "&lt;=30/09/2025")</f>
        <v>0</v>
      </c>
      <c r="I19" s="145"/>
      <c r="J19" s="158" t="s">
        <v>155</v>
      </c>
      <c r="K19" s="163">
        <f t="shared" si="0"/>
        <v>0</v>
      </c>
      <c r="L19" s="179" t="str">
        <f t="shared" si="1"/>
        <v/>
      </c>
      <c r="M19" s="165"/>
      <c r="N19" s="96"/>
      <c r="O19" s="96"/>
      <c r="P19" s="145"/>
    </row>
    <row r="20" spans="2:16" x14ac:dyDescent="0.25">
      <c r="B20" s="168" t="s">
        <v>156</v>
      </c>
      <c r="C20" s="169">
        <f>SUMIFS(Wages!K34:K300, Wages!J34:J300, "&gt;=01/10/2024", Wages!J34:J300, "&lt;=31/10/2024")</f>
        <v>0</v>
      </c>
      <c r="D20" s="169">
        <f>SUMIFS(Wages!L34:L300, Wages!K34:K300, "&gt;=01/10/2025", Wages!K34:K300, "&lt;=31/10/2025")</f>
        <v>0</v>
      </c>
      <c r="E20" s="96"/>
      <c r="F20" s="159" t="s">
        <v>156</v>
      </c>
      <c r="G20" s="170">
        <f>SUMIFS(Invoices!M33:M30000,Invoices!B33:B30000, "&gt;=1/10/2024",Invoices!B33:B30000, "&lt;=31/10/2024")</f>
        <v>0</v>
      </c>
      <c r="H20" s="170">
        <f>SUMIFS(Invoices!N33:N300,Invoices!C33:C300, "&gt;=1/10/2025",Invoices!C33:C300, "&lt;=31/10/2025")</f>
        <v>0</v>
      </c>
      <c r="I20" s="145"/>
      <c r="J20" s="159" t="s">
        <v>156</v>
      </c>
      <c r="K20" s="170">
        <f t="shared" si="0"/>
        <v>0</v>
      </c>
      <c r="L20" s="171" t="str">
        <f t="shared" si="1"/>
        <v/>
      </c>
      <c r="M20" s="172"/>
      <c r="N20" s="96"/>
      <c r="O20" s="96"/>
      <c r="P20" s="96"/>
    </row>
    <row r="21" spans="2:16" x14ac:dyDescent="0.25">
      <c r="B21" s="156" t="s">
        <v>157</v>
      </c>
      <c r="C21" s="162">
        <f>SUMIFS(Wages!K34:K300, Wages!J34:J300, "&gt;=01/11/2024", Wages!J34:J300, "&lt;=30/11/2024")</f>
        <v>0</v>
      </c>
      <c r="D21" s="162">
        <f>SUMIFS(Wages!L34:L300, Wages!K34:K300, "&gt;=01/11/2025", Wages!K34:K300, "&lt;=30/11/2025")</f>
        <v>0</v>
      </c>
      <c r="E21" s="96"/>
      <c r="F21" s="158" t="s">
        <v>157</v>
      </c>
      <c r="G21" s="163">
        <f>SUMIFS(Invoices!M33:M30000,Invoices!B33:B30000, "&gt;=1/11/2024",Invoices!B33:B30000, "&lt;=30/11/2024")</f>
        <v>0</v>
      </c>
      <c r="H21" s="163">
        <f>SUMIFS(Invoices!N33:N300,Invoices!C33:C300, "&gt;=1/11/2025",Invoices!C33:C300, "&lt;=30/11/2025")</f>
        <v>0</v>
      </c>
      <c r="I21" s="145"/>
      <c r="J21" s="158" t="s">
        <v>157</v>
      </c>
      <c r="K21" s="163">
        <f t="shared" si="0"/>
        <v>0</v>
      </c>
      <c r="L21" s="179" t="str">
        <f t="shared" si="1"/>
        <v/>
      </c>
      <c r="M21" s="165"/>
      <c r="N21" s="96"/>
      <c r="O21" s="96"/>
      <c r="P21" s="96"/>
    </row>
    <row r="22" spans="2:16" x14ac:dyDescent="0.25">
      <c r="B22" s="168" t="s">
        <v>158</v>
      </c>
      <c r="C22" s="169">
        <f>SUMIFS(Wages!K34:K300, Wages!J34:J300, "&gt;=01/12/2024", Wages!J34:J300, "&lt;=31/12/2024")</f>
        <v>0</v>
      </c>
      <c r="D22" s="169">
        <f>SUMIFS(Wages!L34:L300, Wages!K34:K300, "&gt;=01/12/2025", Wages!K34:K300, "&lt;=31/12/2025")</f>
        <v>0</v>
      </c>
      <c r="E22" s="96"/>
      <c r="F22" s="159" t="s">
        <v>158</v>
      </c>
      <c r="G22" s="170">
        <f>SUMIFS(Invoices!M33:M30000,Invoices!B33:B30000, "&gt;=1/12/2024",Invoices!B33:B30000, "&lt;=31/12/2024")</f>
        <v>0</v>
      </c>
      <c r="H22" s="170">
        <f>SUMIFS(Invoices!N33:N300,Invoices!C33:C300, "&gt;=1/12/2025",Invoices!C33:C300, "&lt;=31/12/2025")</f>
        <v>0</v>
      </c>
      <c r="I22" s="145"/>
      <c r="J22" s="159" t="s">
        <v>158</v>
      </c>
      <c r="K22" s="170">
        <f t="shared" si="0"/>
        <v>0</v>
      </c>
      <c r="L22" s="171" t="str">
        <f t="shared" si="1"/>
        <v/>
      </c>
      <c r="M22" s="172"/>
      <c r="N22" s="96"/>
      <c r="O22" s="96"/>
      <c r="P22" s="96"/>
    </row>
    <row r="23" spans="2:16" x14ac:dyDescent="0.25">
      <c r="B23" s="96"/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</row>
    <row r="24" spans="2:16" x14ac:dyDescent="0.25">
      <c r="B24" s="96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96"/>
      <c r="N24" s="96"/>
      <c r="O24" s="96"/>
      <c r="P24" s="96"/>
    </row>
  </sheetData>
  <sheetProtection algorithmName="SHA-512" hashValue="euuZf25Z8FB6O4ei5wTqPL/GMf2DkYih9MJRm/8l/m5EbPpROpdh1E8J6K5KF8bj61JDmAwZuTil1x39dPOZTw==" saltValue="6zRLco+OWghTZWIZzSEGvg==" spinCount="100000" sheet="1" objects="1" scenarios="1"/>
  <mergeCells count="1">
    <mergeCell ref="B6:C7"/>
  </mergeCells>
  <phoneticPr fontId="1" type="noConversion"/>
  <conditionalFormatting sqref="L11:L22">
    <cfRule type="cellIs" dxfId="1" priority="1" operator="equal">
      <formula>"Profit"</formula>
    </cfRule>
    <cfRule type="cellIs" dxfId="0" priority="2" operator="equal">
      <formula>"In Loss"</formula>
    </cfRule>
  </conditionalFormatting>
  <pageMargins left="0.7" right="0.7" top="0.75" bottom="0.75" header="0.3" footer="0.3"/>
  <ignoredErrors>
    <ignoredError sqref="L12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Go_home">
                <anchor moveWithCells="1" sizeWithCells="1">
                  <from>
                    <xdr:col>14</xdr:col>
                    <xdr:colOff>428625</xdr:colOff>
                    <xdr:row>5</xdr:row>
                    <xdr:rowOff>76200</xdr:rowOff>
                  </from>
                  <to>
                    <xdr:col>15</xdr:col>
                    <xdr:colOff>504825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Home</vt:lpstr>
      <vt:lpstr>Booking</vt:lpstr>
      <vt:lpstr>Invoices</vt:lpstr>
      <vt:lpstr>Members</vt:lpstr>
      <vt:lpstr>Activities</vt:lpstr>
      <vt:lpstr>Staff</vt:lpstr>
      <vt:lpstr>Wages</vt:lpstr>
      <vt:lpstr>WagesPivot</vt:lpstr>
      <vt:lpstr>Statistics</vt:lpstr>
      <vt:lpstr>Activities1</vt:lpstr>
      <vt:lpstr>date</vt:lpstr>
      <vt:lpstr>i</vt:lpstr>
      <vt:lpstr>inv</vt:lpstr>
      <vt:lpstr>Member_IDi</vt:lpstr>
      <vt:lpstr>Members1</vt:lpstr>
      <vt:lpstr>Invoices!Print_Area</vt:lpstr>
      <vt:lpstr>Members!Print_Area</vt:lpstr>
      <vt:lpstr>Staff!Print_Area</vt:lpstr>
      <vt:lpstr>Members!Print_Titles</vt:lpstr>
      <vt:lpstr>Staff!Print_Titles</vt:lpstr>
      <vt:lpstr>Staff1</vt:lpstr>
      <vt:lpstr>totcost_inv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Amirreza Khosravi (STUDENT)</dc:creator>
  <cp:keywords/>
  <dc:description/>
  <cp:lastModifiedBy>Amirreza Khosravi</cp:lastModifiedBy>
  <cp:revision/>
  <cp:lastPrinted>2024-02-27T11:50:18Z</cp:lastPrinted>
  <dcterms:created xsi:type="dcterms:W3CDTF">2024-01-30T09:16:47Z</dcterms:created>
  <dcterms:modified xsi:type="dcterms:W3CDTF">2024-03-04T18:52:10Z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448bdcc-a5c1-4821-919e-44fa9583868f_Enabled">
    <vt:lpwstr>true</vt:lpwstr>
  </property>
  <property fmtid="{D5CDD505-2E9C-101B-9397-08002B2CF9AE}" pid="3" name="MSIP_Label_8448bdcc-a5c1-4821-919e-44fa9583868f_SetDate">
    <vt:lpwstr>2024-02-01T11:05:24Z</vt:lpwstr>
  </property>
  <property fmtid="{D5CDD505-2E9C-101B-9397-08002B2CF9AE}" pid="4" name="MSIP_Label_8448bdcc-a5c1-4821-919e-44fa9583868f_Method">
    <vt:lpwstr>Standard</vt:lpwstr>
  </property>
  <property fmtid="{D5CDD505-2E9C-101B-9397-08002B2CF9AE}" pid="5" name="MSIP_Label_8448bdcc-a5c1-4821-919e-44fa9583868f_Name">
    <vt:lpwstr>defa4170-0d19-0005-0004-bc88714345d2</vt:lpwstr>
  </property>
  <property fmtid="{D5CDD505-2E9C-101B-9397-08002B2CF9AE}" pid="6" name="MSIP_Label_8448bdcc-a5c1-4821-919e-44fa9583868f_SiteId">
    <vt:lpwstr>96f4d8ee-39bd-4af2-bb46-02d6d12565b5</vt:lpwstr>
  </property>
  <property fmtid="{D5CDD505-2E9C-101B-9397-08002B2CF9AE}" pid="7" name="MSIP_Label_8448bdcc-a5c1-4821-919e-44fa9583868f_ActionId">
    <vt:lpwstr>d14f13d4-8f31-44a8-9fd4-d3269d62c011</vt:lpwstr>
  </property>
  <property fmtid="{D5CDD505-2E9C-101B-9397-08002B2CF9AE}" pid="8" name="MSIP_Label_8448bdcc-a5c1-4821-919e-44fa9583868f_ContentBits">
    <vt:lpwstr>0</vt:lpwstr>
  </property>
</Properties>
</file>